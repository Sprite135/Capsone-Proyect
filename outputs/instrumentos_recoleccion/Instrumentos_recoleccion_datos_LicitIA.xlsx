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icha Pretest" sheetId="2" state="visible" r:id="rId2"/>
    <sheet xmlns:r="http://schemas.openxmlformats.org/officeDocument/2006/relationships" name="Ficha Postest" sheetId="3" state="visible" r:id="rId3"/>
    <sheet xmlns:r="http://schemas.openxmlformats.org/officeDocument/2006/relationships" name="Diccionario de campos" sheetId="4" state="visible" r:id="rId4"/>
    <sheet xmlns:r="http://schemas.openxmlformats.org/officeDocument/2006/relationships" name="Matriz Comparativa" sheetId="5" state="visible" r:id="rId5"/>
    <sheet xmlns:r="http://schemas.openxmlformats.org/officeDocument/2006/relationships" name="Operacionalización" sheetId="6" state="visible" r:id="rId6"/>
    <sheet xmlns:r="http://schemas.openxmlformats.org/officeDocument/2006/relationships" name="Validez y confia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Elemento</t>
        </is>
      </c>
      <c r="B1" s="1" t="inlineStr">
        <is>
          <t>Contenido</t>
        </is>
      </c>
    </row>
    <row r="2">
      <c r="A2" s="2" t="inlineStr">
        <is>
          <t>Proyecto</t>
        </is>
      </c>
      <c r="B2" s="2" t="inlineStr">
        <is>
          <t>LicitIA - Plataforma web inteligente para la gestión de convocatorias estatales</t>
        </is>
      </c>
    </row>
    <row r="3">
      <c r="A3" s="2" t="inlineStr">
        <is>
          <t>Finalidad</t>
        </is>
      </c>
      <c r="B3" s="2" t="inlineStr">
        <is>
          <t>Registrar y comparar el desempeño del proceso manual y del proceso automatizado de búsqueda, monitoreo y análisis de convocatorias estatales del portal SEACE.</t>
        </is>
      </c>
    </row>
    <row r="4">
      <c r="A4" s="2" t="inlineStr">
        <is>
          <t>Muestra</t>
        </is>
      </c>
      <c r="B4" s="2" t="inlineStr">
        <is>
          <t>30 convocatorias estatales filtradas según el rubro de la empresa.</t>
        </is>
      </c>
    </row>
    <row r="5">
      <c r="A5" s="2" t="inlineStr">
        <is>
          <t>Unidad de análisis</t>
        </is>
      </c>
      <c r="B5" s="2" t="inlineStr">
        <is>
          <t>Convocatoria estatal revisada manualmente o capturada automáticamente desde SEACE.</t>
        </is>
      </c>
    </row>
    <row r="6">
      <c r="A6" s="3" t="inlineStr">
        <is>
          <t>Aplicación pretest</t>
        </is>
      </c>
      <c r="B6" s="3" t="inlineStr">
        <is>
          <t>Registrar los datos obtenidos durante la revisión manual antes de implementar o usar la plataforma web inteligente.</t>
        </is>
      </c>
    </row>
    <row r="7">
      <c r="A7" s="3" t="inlineStr">
        <is>
          <t>Aplicación postest</t>
        </is>
      </c>
      <c r="B7" s="3" t="inlineStr">
        <is>
          <t>Ejecutar la plataforma LicitIA, capturar los datos mediante scraping y validar los resultados frente al portal SEACE.</t>
        </is>
      </c>
    </row>
    <row r="8">
      <c r="A8" s="3" t="inlineStr">
        <is>
          <t>Criterio de precisión</t>
        </is>
      </c>
      <c r="B8" s="3" t="inlineStr">
        <is>
          <t>Precisión (%) = campos correctos / total de campos revisados o extraídos x 100.</t>
        </is>
      </c>
    </row>
    <row r="9">
      <c r="A9" s="3" t="inlineStr">
        <is>
          <t>Criterio de cobertura</t>
        </is>
      </c>
      <c r="B9" s="3" t="inlineStr">
        <is>
          <t>Cobertura (%) = convocatorias detectadas o capturadas / total de convocatorias de la muestra x 100.</t>
        </is>
      </c>
    </row>
    <row r="10">
      <c r="A10" s="3" t="inlineStr">
        <is>
          <t>Criterio de mejora</t>
        </is>
      </c>
      <c r="B10" s="3" t="inlineStr">
        <is>
          <t>Para indicadores de tiempo y esfuerzo, una reducción en el postest representa mejora. Para precisión y cobertura, un incremento en el postest representa mejora.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0" customWidth="1" min="4" max="4"/>
    <col width="19" customWidth="1" min="5" max="5"/>
    <col width="22" customWidth="1" min="6" max="6"/>
    <col width="27" customWidth="1" min="7" max="7"/>
    <col width="33" customWidth="1" min="8" max="8"/>
    <col width="42" customWidth="1" min="9" max="9"/>
    <col width="21" customWidth="1" min="10" max="10"/>
    <col width="27" customWidth="1" min="11" max="11"/>
    <col width="27" customWidth="1" min="12" max="12"/>
    <col width="32" customWidth="1" min="13" max="13"/>
    <col width="38" customWidth="1" min="14" max="14"/>
    <col width="18" customWidth="1" min="15" max="15"/>
    <col width="26" customWidth="1" min="16" max="16"/>
    <col width="15" customWidth="1" min="17" max="17"/>
  </cols>
  <sheetData>
    <row r="1">
      <c r="A1" s="1" t="inlineStr">
        <is>
          <t>N</t>
        </is>
      </c>
      <c r="B1" s="1" t="inlineStr">
        <is>
          <t>Código de convocatoria</t>
        </is>
      </c>
      <c r="C1" s="1" t="inlineStr">
        <is>
          <t>Título de la convocatoria</t>
        </is>
      </c>
      <c r="D1" s="1" t="inlineStr">
        <is>
          <t>Entidad convocante</t>
        </is>
      </c>
      <c r="E1" s="1" t="inlineStr">
        <is>
          <t>Rubro o categoría</t>
        </is>
      </c>
      <c r="F1" s="1" t="inlineStr">
        <is>
          <t>Fecha de publicación</t>
        </is>
      </c>
      <c r="G1" s="1" t="inlineStr">
        <is>
          <t>Fecha de detección manual</t>
        </is>
      </c>
      <c r="H1" s="1" t="inlineStr">
        <is>
          <t>Tiempo de búsqueda manual (min)</t>
        </is>
      </c>
      <c r="I1" s="1" t="inlineStr">
        <is>
          <t>Tiempo de desfase manual (h)</t>
        </is>
      </c>
      <c r="J1" s="1" t="inlineStr">
        <is>
          <t>Monto estimado (S/)</t>
        </is>
      </c>
      <c r="K1" s="1" t="inlineStr">
        <is>
          <t>Estado de la convocatoria</t>
        </is>
      </c>
      <c r="L1" s="1" t="inlineStr">
        <is>
          <t>Total de campos revisados</t>
        </is>
      </c>
      <c r="M1" s="1" t="inlineStr">
        <is>
          <t>Errores u omisiones detectadas</t>
        </is>
      </c>
      <c r="N1" s="1" t="inlineStr">
        <is>
          <t>Campos correctos</t>
        </is>
      </c>
      <c r="O1" s="1" t="inlineStr">
        <is>
          <t>Cobertura manual</t>
        </is>
      </c>
      <c r="P1" s="1" t="inlineStr">
        <is>
          <t>Responsable del registro</t>
        </is>
      </c>
      <c r="Q1" s="1" t="inlineStr">
        <is>
          <t>Observaciones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>
        <f>IF(AND(F2&lt;&gt;"",G2&lt;&gt;""),(G2-F2)*24,"")</f>
        <v/>
      </c>
      <c r="J2" s="2" t="inlineStr"/>
      <c r="K2" s="2" t="inlineStr"/>
      <c r="L2" s="2" t="inlineStr"/>
      <c r="M2" s="2" t="inlineStr"/>
      <c r="N2" s="2">
        <f>IF(AND(L2&lt;&gt;"",M2&lt;&gt;""),L2-M2,"")</f>
        <v/>
      </c>
      <c r="O2" s="2" t="inlineStr"/>
      <c r="P2" s="2" t="inlineStr"/>
      <c r="Q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>
        <f>IF(AND(F3&lt;&gt;"",G3&lt;&gt;""),(G3-F3)*24,"")</f>
        <v/>
      </c>
      <c r="J3" s="2" t="inlineStr"/>
      <c r="K3" s="2" t="inlineStr"/>
      <c r="L3" s="2" t="inlineStr"/>
      <c r="M3" s="2" t="inlineStr"/>
      <c r="N3" s="2">
        <f>IF(AND(L3&lt;&gt;"",M3&lt;&gt;""),L3-M3,"")</f>
        <v/>
      </c>
      <c r="O3" s="2" t="inlineStr"/>
      <c r="P3" s="2" t="inlineStr"/>
      <c r="Q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>
        <f>IF(AND(F4&lt;&gt;"",G4&lt;&gt;""),(G4-F4)*24,"")</f>
        <v/>
      </c>
      <c r="J4" s="2" t="inlineStr"/>
      <c r="K4" s="2" t="inlineStr"/>
      <c r="L4" s="2" t="inlineStr"/>
      <c r="M4" s="2" t="inlineStr"/>
      <c r="N4" s="2">
        <f>IF(AND(L4&lt;&gt;"",M4&lt;&gt;""),L4-M4,"")</f>
        <v/>
      </c>
      <c r="O4" s="2" t="inlineStr"/>
      <c r="P4" s="2" t="inlineStr"/>
      <c r="Q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>
        <f>IF(AND(F5&lt;&gt;"",G5&lt;&gt;""),(G5-F5)*24,"")</f>
        <v/>
      </c>
      <c r="J5" s="2" t="inlineStr"/>
      <c r="K5" s="2" t="inlineStr"/>
      <c r="L5" s="2" t="inlineStr"/>
      <c r="M5" s="2" t="inlineStr"/>
      <c r="N5" s="2">
        <f>IF(AND(L5&lt;&gt;"",M5&lt;&gt;""),L5-M5,"")</f>
        <v/>
      </c>
      <c r="O5" s="2" t="inlineStr"/>
      <c r="P5" s="2" t="inlineStr"/>
      <c r="Q5" s="2" t="inlineStr"/>
    </row>
    <row r="6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>
        <f>IF(AND(F6&lt;&gt;"",G6&lt;&gt;""),(G6-F6)*24,"")</f>
        <v/>
      </c>
      <c r="J6" s="3" t="inlineStr"/>
      <c r="K6" s="3" t="inlineStr"/>
      <c r="L6" s="3" t="inlineStr"/>
      <c r="M6" s="3" t="inlineStr"/>
      <c r="N6" s="3">
        <f>IF(AND(L6&lt;&gt;"",M6&lt;&gt;""),L6-M6,"")</f>
        <v/>
      </c>
      <c r="O6" s="3" t="inlineStr"/>
      <c r="P6" s="3" t="inlineStr"/>
      <c r="Q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>
        <f>IF(AND(F7&lt;&gt;"",G7&lt;&gt;""),(G7-F7)*24,"")</f>
        <v/>
      </c>
      <c r="J7" s="3" t="inlineStr"/>
      <c r="K7" s="3" t="inlineStr"/>
      <c r="L7" s="3" t="inlineStr"/>
      <c r="M7" s="3" t="inlineStr"/>
      <c r="N7" s="3">
        <f>IF(AND(L7&lt;&gt;"",M7&lt;&gt;""),L7-M7,"")</f>
        <v/>
      </c>
      <c r="O7" s="3" t="inlineStr"/>
      <c r="P7" s="3" t="inlineStr"/>
      <c r="Q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>
        <f>IF(AND(F8&lt;&gt;"",G8&lt;&gt;""),(G8-F8)*24,"")</f>
        <v/>
      </c>
      <c r="J8" s="3" t="inlineStr"/>
      <c r="K8" s="3" t="inlineStr"/>
      <c r="L8" s="3" t="inlineStr"/>
      <c r="M8" s="3" t="inlineStr"/>
      <c r="N8" s="3">
        <f>IF(AND(L8&lt;&gt;"",M8&lt;&gt;""),L8-M8,"")</f>
        <v/>
      </c>
      <c r="O8" s="3" t="inlineStr"/>
      <c r="P8" s="3" t="inlineStr"/>
      <c r="Q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>
        <f>IF(AND(F9&lt;&gt;"",G9&lt;&gt;""),(G9-F9)*24,"")</f>
        <v/>
      </c>
      <c r="J9" s="3" t="inlineStr"/>
      <c r="K9" s="3" t="inlineStr"/>
      <c r="L9" s="3" t="inlineStr"/>
      <c r="M9" s="3" t="inlineStr"/>
      <c r="N9" s="3">
        <f>IF(AND(L9&lt;&gt;"",M9&lt;&gt;""),L9-M9,"")</f>
        <v/>
      </c>
      <c r="O9" s="3" t="inlineStr"/>
      <c r="P9" s="3" t="inlineStr"/>
      <c r="Q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>
        <f>IF(AND(F10&lt;&gt;"",G10&lt;&gt;""),(G10-F10)*24,"")</f>
        <v/>
      </c>
      <c r="J10" s="3" t="inlineStr"/>
      <c r="K10" s="3" t="inlineStr"/>
      <c r="L10" s="3" t="inlineStr"/>
      <c r="M10" s="3" t="inlineStr"/>
      <c r="N10" s="3">
        <f>IF(AND(L10&lt;&gt;"",M10&lt;&gt;""),L10-M10,"")</f>
        <v/>
      </c>
      <c r="O10" s="3" t="inlineStr"/>
      <c r="P10" s="3" t="inlineStr"/>
      <c r="Q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>
        <f>IF(AND(F11&lt;&gt;"",G11&lt;&gt;""),(G11-F11)*24,"")</f>
        <v/>
      </c>
      <c r="J11" s="3" t="inlineStr"/>
      <c r="K11" s="3" t="inlineStr"/>
      <c r="L11" s="3" t="inlineStr"/>
      <c r="M11" s="3" t="inlineStr"/>
      <c r="N11" s="3">
        <f>IF(AND(L11&lt;&gt;"",M11&lt;&gt;""),L11-M11,"")</f>
        <v/>
      </c>
      <c r="O11" s="3" t="inlineStr"/>
      <c r="P11" s="3" t="inlineStr"/>
      <c r="Q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>
        <f>IF(AND(F12&lt;&gt;"",G12&lt;&gt;""),(G12-F12)*24,"")</f>
        <v/>
      </c>
      <c r="J12" s="3" t="inlineStr"/>
      <c r="K12" s="3" t="inlineStr"/>
      <c r="L12" s="3" t="inlineStr"/>
      <c r="M12" s="3" t="inlineStr"/>
      <c r="N12" s="3">
        <f>IF(AND(L12&lt;&gt;"",M12&lt;&gt;""),L12-M12,"")</f>
        <v/>
      </c>
      <c r="O12" s="3" t="inlineStr"/>
      <c r="P12" s="3" t="inlineStr"/>
      <c r="Q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>
        <f>IF(AND(F13&lt;&gt;"",G13&lt;&gt;""),(G13-F13)*24,"")</f>
        <v/>
      </c>
      <c r="J13" s="3" t="inlineStr"/>
      <c r="K13" s="3" t="inlineStr"/>
      <c r="L13" s="3" t="inlineStr"/>
      <c r="M13" s="3" t="inlineStr"/>
      <c r="N13" s="3">
        <f>IF(AND(L13&lt;&gt;"",M13&lt;&gt;""),L13-M13,"")</f>
        <v/>
      </c>
      <c r="O13" s="3" t="inlineStr"/>
      <c r="P13" s="3" t="inlineStr"/>
      <c r="Q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>
        <f>IF(AND(F14&lt;&gt;"",G14&lt;&gt;""),(G14-F14)*24,"")</f>
        <v/>
      </c>
      <c r="J14" s="3" t="inlineStr"/>
      <c r="K14" s="3" t="inlineStr"/>
      <c r="L14" s="3" t="inlineStr"/>
      <c r="M14" s="3" t="inlineStr"/>
      <c r="N14" s="3">
        <f>IF(AND(L14&lt;&gt;"",M14&lt;&gt;""),L14-M14,"")</f>
        <v/>
      </c>
      <c r="O14" s="3" t="inlineStr"/>
      <c r="P14" s="3" t="inlineStr"/>
      <c r="Q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>
        <f>IF(AND(F15&lt;&gt;"",G15&lt;&gt;""),(G15-F15)*24,"")</f>
        <v/>
      </c>
      <c r="J15" s="3" t="inlineStr"/>
      <c r="K15" s="3" t="inlineStr"/>
      <c r="L15" s="3" t="inlineStr"/>
      <c r="M15" s="3" t="inlineStr"/>
      <c r="N15" s="3">
        <f>IF(AND(L15&lt;&gt;"",M15&lt;&gt;""),L15-M15,"")</f>
        <v/>
      </c>
      <c r="O15" s="3" t="inlineStr"/>
      <c r="P15" s="3" t="inlineStr"/>
      <c r="Q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>
        <f>IF(AND(F16&lt;&gt;"",G16&lt;&gt;""),(G16-F16)*24,"")</f>
        <v/>
      </c>
      <c r="J16" s="3" t="inlineStr"/>
      <c r="K16" s="3" t="inlineStr"/>
      <c r="L16" s="3" t="inlineStr"/>
      <c r="M16" s="3" t="inlineStr"/>
      <c r="N16" s="3">
        <f>IF(AND(L16&lt;&gt;"",M16&lt;&gt;""),L16-M16,"")</f>
        <v/>
      </c>
      <c r="O16" s="3" t="inlineStr"/>
      <c r="P16" s="3" t="inlineStr"/>
      <c r="Q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>
        <f>IF(AND(F17&lt;&gt;"",G17&lt;&gt;""),(G17-F17)*24,"")</f>
        <v/>
      </c>
      <c r="J17" s="3" t="inlineStr"/>
      <c r="K17" s="3" t="inlineStr"/>
      <c r="L17" s="3" t="inlineStr"/>
      <c r="M17" s="3" t="inlineStr"/>
      <c r="N17" s="3">
        <f>IF(AND(L17&lt;&gt;"",M17&lt;&gt;""),L17-M17,"")</f>
        <v/>
      </c>
      <c r="O17" s="3" t="inlineStr"/>
      <c r="P17" s="3" t="inlineStr"/>
      <c r="Q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>
        <f>IF(AND(F18&lt;&gt;"",G18&lt;&gt;""),(G18-F18)*24,"")</f>
        <v/>
      </c>
      <c r="J18" s="3" t="inlineStr"/>
      <c r="K18" s="3" t="inlineStr"/>
      <c r="L18" s="3" t="inlineStr"/>
      <c r="M18" s="3" t="inlineStr"/>
      <c r="N18" s="3">
        <f>IF(AND(L18&lt;&gt;"",M18&lt;&gt;""),L18-M18,"")</f>
        <v/>
      </c>
      <c r="O18" s="3" t="inlineStr"/>
      <c r="P18" s="3" t="inlineStr"/>
      <c r="Q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>
        <f>IF(AND(F19&lt;&gt;"",G19&lt;&gt;""),(G19-F19)*24,"")</f>
        <v/>
      </c>
      <c r="J19" s="3" t="inlineStr"/>
      <c r="K19" s="3" t="inlineStr"/>
      <c r="L19" s="3" t="inlineStr"/>
      <c r="M19" s="3" t="inlineStr"/>
      <c r="N19" s="3">
        <f>IF(AND(L19&lt;&gt;"",M19&lt;&gt;""),L19-M19,"")</f>
        <v/>
      </c>
      <c r="O19" s="3" t="inlineStr"/>
      <c r="P19" s="3" t="inlineStr"/>
      <c r="Q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>
        <f>IF(AND(F20&lt;&gt;"",G20&lt;&gt;""),(G20-F20)*24,"")</f>
        <v/>
      </c>
      <c r="J20" s="3" t="inlineStr"/>
      <c r="K20" s="3" t="inlineStr"/>
      <c r="L20" s="3" t="inlineStr"/>
      <c r="M20" s="3" t="inlineStr"/>
      <c r="N20" s="3">
        <f>IF(AND(L20&lt;&gt;"",M20&lt;&gt;""),L20-M20,"")</f>
        <v/>
      </c>
      <c r="O20" s="3" t="inlineStr"/>
      <c r="P20" s="3" t="inlineStr"/>
      <c r="Q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>
        <f>IF(AND(F21&lt;&gt;"",G21&lt;&gt;""),(G21-F21)*24,"")</f>
        <v/>
      </c>
      <c r="J21" s="3" t="inlineStr"/>
      <c r="K21" s="3" t="inlineStr"/>
      <c r="L21" s="3" t="inlineStr"/>
      <c r="M21" s="3" t="inlineStr"/>
      <c r="N21" s="3">
        <f>IF(AND(L21&lt;&gt;"",M21&lt;&gt;""),L21-M21,"")</f>
        <v/>
      </c>
      <c r="O21" s="3" t="inlineStr"/>
      <c r="P21" s="3" t="inlineStr"/>
      <c r="Q21" s="3" t="inlineStr"/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>
        <f>IF(AND(F22&lt;&gt;"",G22&lt;&gt;""),(G22-F22)*24,"")</f>
        <v/>
      </c>
      <c r="J22" s="3" t="inlineStr"/>
      <c r="K22" s="3" t="inlineStr"/>
      <c r="L22" s="3" t="inlineStr"/>
      <c r="M22" s="3" t="inlineStr"/>
      <c r="N22" s="3">
        <f>IF(AND(L22&lt;&gt;"",M22&lt;&gt;""),L22-M22,"")</f>
        <v/>
      </c>
      <c r="O22" s="3" t="inlineStr"/>
      <c r="P22" s="3" t="inlineStr"/>
      <c r="Q22" s="3" t="inlineStr"/>
    </row>
    <row r="23">
      <c r="A23" s="3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>
        <f>IF(AND(F23&lt;&gt;"",G23&lt;&gt;""),(G23-F23)*24,"")</f>
        <v/>
      </c>
      <c r="J23" s="3" t="inlineStr"/>
      <c r="K23" s="3" t="inlineStr"/>
      <c r="L23" s="3" t="inlineStr"/>
      <c r="M23" s="3" t="inlineStr"/>
      <c r="N23" s="3">
        <f>IF(AND(L23&lt;&gt;"",M23&lt;&gt;""),L23-M23,"")</f>
        <v/>
      </c>
      <c r="O23" s="3" t="inlineStr"/>
      <c r="P23" s="3" t="inlineStr"/>
      <c r="Q23" s="3" t="inlineStr"/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>
        <f>IF(AND(F24&lt;&gt;"",G24&lt;&gt;""),(G24-F24)*24,"")</f>
        <v/>
      </c>
      <c r="J24" s="3" t="inlineStr"/>
      <c r="K24" s="3" t="inlineStr"/>
      <c r="L24" s="3" t="inlineStr"/>
      <c r="M24" s="3" t="inlineStr"/>
      <c r="N24" s="3">
        <f>IF(AND(L24&lt;&gt;"",M24&lt;&gt;""),L24-M24,"")</f>
        <v/>
      </c>
      <c r="O24" s="3" t="inlineStr"/>
      <c r="P24" s="3" t="inlineStr"/>
      <c r="Q24" s="3" t="inlineStr"/>
    </row>
    <row r="25">
      <c r="A25" s="3" t="n">
        <v>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>
        <f>IF(AND(F25&lt;&gt;"",G25&lt;&gt;""),(G25-F25)*24,"")</f>
        <v/>
      </c>
      <c r="J25" s="3" t="inlineStr"/>
      <c r="K25" s="3" t="inlineStr"/>
      <c r="L25" s="3" t="inlineStr"/>
      <c r="M25" s="3" t="inlineStr"/>
      <c r="N25" s="3">
        <f>IF(AND(L25&lt;&gt;"",M25&lt;&gt;""),L25-M25,"")</f>
        <v/>
      </c>
      <c r="O25" s="3" t="inlineStr"/>
      <c r="P25" s="3" t="inlineStr"/>
      <c r="Q25" s="3" t="inlineStr"/>
    </row>
    <row r="26">
      <c r="A26" s="3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>
        <f>IF(AND(F26&lt;&gt;"",G26&lt;&gt;""),(G26-F26)*24,"")</f>
        <v/>
      </c>
      <c r="J26" s="3" t="inlineStr"/>
      <c r="K26" s="3" t="inlineStr"/>
      <c r="L26" s="3" t="inlineStr"/>
      <c r="M26" s="3" t="inlineStr"/>
      <c r="N26" s="3">
        <f>IF(AND(L26&lt;&gt;"",M26&lt;&gt;""),L26-M26,"")</f>
        <v/>
      </c>
      <c r="O26" s="3" t="inlineStr"/>
      <c r="P26" s="3" t="inlineStr"/>
      <c r="Q26" s="3" t="inlineStr"/>
    </row>
    <row r="27">
      <c r="A27" s="3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>
        <f>IF(AND(F27&lt;&gt;"",G27&lt;&gt;""),(G27-F27)*24,"")</f>
        <v/>
      </c>
      <c r="J27" s="3" t="inlineStr"/>
      <c r="K27" s="3" t="inlineStr"/>
      <c r="L27" s="3" t="inlineStr"/>
      <c r="M27" s="3" t="inlineStr"/>
      <c r="N27" s="3">
        <f>IF(AND(L27&lt;&gt;"",M27&lt;&gt;""),L27-M27,"")</f>
        <v/>
      </c>
      <c r="O27" s="3" t="inlineStr"/>
      <c r="P27" s="3" t="inlineStr"/>
      <c r="Q27" s="3" t="inlineStr"/>
    </row>
    <row r="28">
      <c r="A28" s="3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>
        <f>IF(AND(F28&lt;&gt;"",G28&lt;&gt;""),(G28-F28)*24,"")</f>
        <v/>
      </c>
      <c r="J28" s="3" t="inlineStr"/>
      <c r="K28" s="3" t="inlineStr"/>
      <c r="L28" s="3" t="inlineStr"/>
      <c r="M28" s="3" t="inlineStr"/>
      <c r="N28" s="3">
        <f>IF(AND(L28&lt;&gt;"",M28&lt;&gt;""),L28-M28,"")</f>
        <v/>
      </c>
      <c r="O28" s="3" t="inlineStr"/>
      <c r="P28" s="3" t="inlineStr"/>
      <c r="Q28" s="3" t="inlineStr"/>
    </row>
    <row r="29">
      <c r="A29" s="3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>
        <f>IF(AND(F29&lt;&gt;"",G29&lt;&gt;""),(G29-F29)*24,"")</f>
        <v/>
      </c>
      <c r="J29" s="3" t="inlineStr"/>
      <c r="K29" s="3" t="inlineStr"/>
      <c r="L29" s="3" t="inlineStr"/>
      <c r="M29" s="3" t="inlineStr"/>
      <c r="N29" s="3">
        <f>IF(AND(L29&lt;&gt;"",M29&lt;&gt;""),L29-M29,"")</f>
        <v/>
      </c>
      <c r="O29" s="3" t="inlineStr"/>
      <c r="P29" s="3" t="inlineStr"/>
      <c r="Q29" s="3" t="inlineStr"/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>
        <f>IF(AND(F30&lt;&gt;"",G30&lt;&gt;""),(G30-F30)*24,"")</f>
        <v/>
      </c>
      <c r="J30" s="3" t="inlineStr"/>
      <c r="K30" s="3" t="inlineStr"/>
      <c r="L30" s="3" t="inlineStr"/>
      <c r="M30" s="3" t="inlineStr"/>
      <c r="N30" s="3">
        <f>IF(AND(L30&lt;&gt;"",M30&lt;&gt;""),L30-M30,"")</f>
        <v/>
      </c>
      <c r="O30" s="3" t="inlineStr"/>
      <c r="P30" s="3" t="inlineStr"/>
      <c r="Q30" s="3" t="inlineStr"/>
    </row>
    <row r="31">
      <c r="A31" s="3" t="n">
        <v>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>
        <f>IF(AND(F31&lt;&gt;"",G31&lt;&gt;""),(G31-F31)*24,"")</f>
        <v/>
      </c>
      <c r="J31" s="3" t="inlineStr"/>
      <c r="K31" s="3" t="inlineStr"/>
      <c r="L31" s="3" t="inlineStr"/>
      <c r="M31" s="3" t="inlineStr"/>
      <c r="N31" s="3">
        <f>IF(AND(L31&lt;&gt;"",M31&lt;&gt;""),L31-M31,"")</f>
        <v/>
      </c>
      <c r="O31" s="3" t="inlineStr"/>
      <c r="P31" s="3" t="inlineStr"/>
      <c r="Q31" s="3" t="inlineStr"/>
    </row>
  </sheetData>
  <dataValidations count="2">
    <dataValidation sqref="K2:K31" showDropDown="0" showInputMessage="0" showErrorMessage="0" allowBlank="1" type="list">
      <formula1>"Activa,Cerrada,Anulada,Otro"</formula1>
    </dataValidation>
    <dataValidation sqref="O2:O3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0" customWidth="1" min="4" max="4"/>
    <col width="19" customWidth="1" min="5" max="5"/>
    <col width="22" customWidth="1" min="6" max="6"/>
    <col width="31" customWidth="1" min="7" max="7"/>
    <col width="28" customWidth="1" min="8" max="8"/>
    <col width="24" customWidth="1" min="9" max="9"/>
    <col width="21" customWidth="1" min="10" max="10"/>
    <col width="27" customWidth="1" min="11" max="11"/>
    <col width="27" customWidth="1" min="12" max="12"/>
    <col width="18" customWidth="1" min="13" max="13"/>
    <col width="38" customWidth="1" min="14" max="14"/>
    <col width="22" customWidth="1" min="15" max="15"/>
    <col width="27" customWidth="1" min="16" max="16"/>
    <col width="15" customWidth="1" min="17" max="17"/>
  </cols>
  <sheetData>
    <row r="1">
      <c r="A1" s="1" t="inlineStr">
        <is>
          <t>N</t>
        </is>
      </c>
      <c r="B1" s="1" t="inlineStr">
        <is>
          <t>Código de convocatoria</t>
        </is>
      </c>
      <c r="C1" s="1" t="inlineStr">
        <is>
          <t>Título de la convocatoria</t>
        </is>
      </c>
      <c r="D1" s="1" t="inlineStr">
        <is>
          <t>Entidad convocante</t>
        </is>
      </c>
      <c r="E1" s="1" t="inlineStr">
        <is>
          <t>Rubro o categoría</t>
        </is>
      </c>
      <c r="F1" s="1" t="inlineStr">
        <is>
          <t>Fecha de publicación</t>
        </is>
      </c>
      <c r="G1" s="1" t="inlineStr">
        <is>
          <t>Fecha de detección automática</t>
        </is>
      </c>
      <c r="H1" s="1" t="inlineStr">
        <is>
          <t>Tiempo de extracción (seg)</t>
        </is>
      </c>
      <c r="I1" s="1" t="inlineStr">
        <is>
          <t>Tiempo de alerta (min)</t>
        </is>
      </c>
      <c r="J1" s="1" t="inlineStr">
        <is>
          <t>Monto estimado (S/)</t>
        </is>
      </c>
      <c r="K1" s="1" t="inlineStr">
        <is>
          <t>Estado de la convocatoria</t>
        </is>
      </c>
      <c r="L1" s="1" t="inlineStr">
        <is>
          <t>Total de campos extraídos</t>
        </is>
      </c>
      <c r="M1" s="1" t="inlineStr">
        <is>
          <t>Campos correctos</t>
        </is>
      </c>
      <c r="N1" s="1" t="inlineStr">
        <is>
          <t>Precisión de extracción (%)</t>
        </is>
      </c>
      <c r="O1" s="1" t="inlineStr">
        <is>
          <t>Cobertura automática</t>
        </is>
      </c>
      <c r="P1" s="1" t="inlineStr">
        <is>
          <t>Responsable de validación</t>
        </is>
      </c>
      <c r="Q1" s="1" t="inlineStr">
        <is>
          <t>Observaciones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>
        <f>IF(AND(L2&lt;&gt;"",M2&lt;&gt;""),M2/L2,"")</f>
        <v/>
      </c>
      <c r="O2" s="2" t="inlineStr"/>
      <c r="P2" s="2" t="inlineStr"/>
      <c r="Q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>
        <f>IF(AND(L3&lt;&gt;"",M3&lt;&gt;""),M3/L3,"")</f>
        <v/>
      </c>
      <c r="O3" s="2" t="inlineStr"/>
      <c r="P3" s="2" t="inlineStr"/>
      <c r="Q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>
        <f>IF(AND(L4&lt;&gt;"",M4&lt;&gt;""),M4/L4,"")</f>
        <v/>
      </c>
      <c r="O4" s="2" t="inlineStr"/>
      <c r="P4" s="2" t="inlineStr"/>
      <c r="Q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>
        <f>IF(AND(L5&lt;&gt;"",M5&lt;&gt;""),M5/L5,"")</f>
        <v/>
      </c>
      <c r="O5" s="2" t="inlineStr"/>
      <c r="P5" s="2" t="inlineStr"/>
      <c r="Q5" s="2" t="inlineStr"/>
    </row>
    <row r="6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>
        <f>IF(AND(L6&lt;&gt;"",M6&lt;&gt;""),M6/L6,"")</f>
        <v/>
      </c>
      <c r="O6" s="3" t="inlineStr"/>
      <c r="P6" s="3" t="inlineStr"/>
      <c r="Q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>
        <f>IF(AND(L7&lt;&gt;"",M7&lt;&gt;""),M7/L7,"")</f>
        <v/>
      </c>
      <c r="O7" s="3" t="inlineStr"/>
      <c r="P7" s="3" t="inlineStr"/>
      <c r="Q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>
        <f>IF(AND(L8&lt;&gt;"",M8&lt;&gt;""),M8/L8,"")</f>
        <v/>
      </c>
      <c r="O8" s="3" t="inlineStr"/>
      <c r="P8" s="3" t="inlineStr"/>
      <c r="Q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>
        <f>IF(AND(L9&lt;&gt;"",M9&lt;&gt;""),M9/L9,"")</f>
        <v/>
      </c>
      <c r="O9" s="3" t="inlineStr"/>
      <c r="P9" s="3" t="inlineStr"/>
      <c r="Q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>
        <f>IF(AND(L10&lt;&gt;"",M10&lt;&gt;""),M10/L10,"")</f>
        <v/>
      </c>
      <c r="O10" s="3" t="inlineStr"/>
      <c r="P10" s="3" t="inlineStr"/>
      <c r="Q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>
        <f>IF(AND(L11&lt;&gt;"",M11&lt;&gt;""),M11/L11,"")</f>
        <v/>
      </c>
      <c r="O11" s="3" t="inlineStr"/>
      <c r="P11" s="3" t="inlineStr"/>
      <c r="Q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>
        <f>IF(AND(L12&lt;&gt;"",M12&lt;&gt;""),M12/L12,"")</f>
        <v/>
      </c>
      <c r="O12" s="3" t="inlineStr"/>
      <c r="P12" s="3" t="inlineStr"/>
      <c r="Q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>
        <f>IF(AND(L13&lt;&gt;"",M13&lt;&gt;""),M13/L13,"")</f>
        <v/>
      </c>
      <c r="O13" s="3" t="inlineStr"/>
      <c r="P13" s="3" t="inlineStr"/>
      <c r="Q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>
        <f>IF(AND(L14&lt;&gt;"",M14&lt;&gt;""),M14/L14,"")</f>
        <v/>
      </c>
      <c r="O14" s="3" t="inlineStr"/>
      <c r="P14" s="3" t="inlineStr"/>
      <c r="Q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>
        <f>IF(AND(L15&lt;&gt;"",M15&lt;&gt;""),M15/L15,"")</f>
        <v/>
      </c>
      <c r="O15" s="3" t="inlineStr"/>
      <c r="P15" s="3" t="inlineStr"/>
      <c r="Q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>
        <f>IF(AND(L16&lt;&gt;"",M16&lt;&gt;""),M16/L16,"")</f>
        <v/>
      </c>
      <c r="O16" s="3" t="inlineStr"/>
      <c r="P16" s="3" t="inlineStr"/>
      <c r="Q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>
        <f>IF(AND(L17&lt;&gt;"",M17&lt;&gt;""),M17/L17,"")</f>
        <v/>
      </c>
      <c r="O17" s="3" t="inlineStr"/>
      <c r="P17" s="3" t="inlineStr"/>
      <c r="Q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>
        <f>IF(AND(L18&lt;&gt;"",M18&lt;&gt;""),M18/L18,"")</f>
        <v/>
      </c>
      <c r="O18" s="3" t="inlineStr"/>
      <c r="P18" s="3" t="inlineStr"/>
      <c r="Q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>
        <f>IF(AND(L19&lt;&gt;"",M19&lt;&gt;""),M19/L19,"")</f>
        <v/>
      </c>
      <c r="O19" s="3" t="inlineStr"/>
      <c r="P19" s="3" t="inlineStr"/>
      <c r="Q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>
        <f>IF(AND(L20&lt;&gt;"",M20&lt;&gt;""),M20/L20,"")</f>
        <v/>
      </c>
      <c r="O20" s="3" t="inlineStr"/>
      <c r="P20" s="3" t="inlineStr"/>
      <c r="Q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>
        <f>IF(AND(L21&lt;&gt;"",M21&lt;&gt;""),M21/L21,"")</f>
        <v/>
      </c>
      <c r="O21" s="3" t="inlineStr"/>
      <c r="P21" s="3" t="inlineStr"/>
      <c r="Q21" s="3" t="inlineStr"/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>
        <f>IF(AND(L22&lt;&gt;"",M22&lt;&gt;""),M22/L22,"")</f>
        <v/>
      </c>
      <c r="O22" s="3" t="inlineStr"/>
      <c r="P22" s="3" t="inlineStr"/>
      <c r="Q22" s="3" t="inlineStr"/>
    </row>
    <row r="23">
      <c r="A23" s="3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>
        <f>IF(AND(L23&lt;&gt;"",M23&lt;&gt;""),M23/L23,"")</f>
        <v/>
      </c>
      <c r="O23" s="3" t="inlineStr"/>
      <c r="P23" s="3" t="inlineStr"/>
      <c r="Q23" s="3" t="inlineStr"/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>
        <f>IF(AND(L24&lt;&gt;"",M24&lt;&gt;""),M24/L24,"")</f>
        <v/>
      </c>
      <c r="O24" s="3" t="inlineStr"/>
      <c r="P24" s="3" t="inlineStr"/>
      <c r="Q24" s="3" t="inlineStr"/>
    </row>
    <row r="25">
      <c r="A25" s="3" t="n">
        <v>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>
        <f>IF(AND(L25&lt;&gt;"",M25&lt;&gt;""),M25/L25,"")</f>
        <v/>
      </c>
      <c r="O25" s="3" t="inlineStr"/>
      <c r="P25" s="3" t="inlineStr"/>
      <c r="Q25" s="3" t="inlineStr"/>
    </row>
    <row r="26">
      <c r="A26" s="3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>
        <f>IF(AND(L26&lt;&gt;"",M26&lt;&gt;""),M26/L26,"")</f>
        <v/>
      </c>
      <c r="O26" s="3" t="inlineStr"/>
      <c r="P26" s="3" t="inlineStr"/>
      <c r="Q26" s="3" t="inlineStr"/>
    </row>
    <row r="27">
      <c r="A27" s="3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>
        <f>IF(AND(L27&lt;&gt;"",M27&lt;&gt;""),M27/L27,"")</f>
        <v/>
      </c>
      <c r="O27" s="3" t="inlineStr"/>
      <c r="P27" s="3" t="inlineStr"/>
      <c r="Q27" s="3" t="inlineStr"/>
    </row>
    <row r="28">
      <c r="A28" s="3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>
        <f>IF(AND(L28&lt;&gt;"",M28&lt;&gt;""),M28/L28,"")</f>
        <v/>
      </c>
      <c r="O28" s="3" t="inlineStr"/>
      <c r="P28" s="3" t="inlineStr"/>
      <c r="Q28" s="3" t="inlineStr"/>
    </row>
    <row r="29">
      <c r="A29" s="3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>
        <f>IF(AND(L29&lt;&gt;"",M29&lt;&gt;""),M29/L29,"")</f>
        <v/>
      </c>
      <c r="O29" s="3" t="inlineStr"/>
      <c r="P29" s="3" t="inlineStr"/>
      <c r="Q29" s="3" t="inlineStr"/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>
        <f>IF(AND(L30&lt;&gt;"",M30&lt;&gt;""),M30/L30,"")</f>
        <v/>
      </c>
      <c r="O30" s="3" t="inlineStr"/>
      <c r="P30" s="3" t="inlineStr"/>
      <c r="Q30" s="3" t="inlineStr"/>
    </row>
    <row r="31">
      <c r="A31" s="3" t="n">
        <v>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>
        <f>IF(AND(L31&lt;&gt;"",M31&lt;&gt;""),M31/L31,"")</f>
        <v/>
      </c>
      <c r="O31" s="3" t="inlineStr"/>
      <c r="P31" s="3" t="inlineStr"/>
      <c r="Q31" s="3" t="inlineStr"/>
    </row>
  </sheetData>
  <dataValidations count="2">
    <dataValidation sqref="K2:K31" showDropDown="0" showInputMessage="0" showErrorMessage="0" allowBlank="1" type="list">
      <formula1>"Activa,Cerrada,Anulada,Otro"</formula1>
    </dataValidation>
    <dataValidation sqref="O2:O3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65" customWidth="1" min="3" max="3"/>
  </cols>
  <sheetData>
    <row r="1">
      <c r="A1" s="1" t="inlineStr">
        <is>
          <t>Instrumento</t>
        </is>
      </c>
      <c r="B1" s="1" t="inlineStr">
        <is>
          <t>Campo</t>
        </is>
      </c>
      <c r="C1" s="1" t="inlineStr">
        <is>
          <t>Descripción</t>
        </is>
      </c>
    </row>
    <row r="2">
      <c r="A2" s="2" t="inlineStr">
        <is>
          <t>Ficha de registro del pretest</t>
        </is>
      </c>
      <c r="B2" s="2" t="inlineStr">
        <is>
          <t>N</t>
        </is>
      </c>
      <c r="C2" s="2" t="inlineStr">
        <is>
          <t>Número correlativo del registro.</t>
        </is>
      </c>
    </row>
    <row r="3">
      <c r="A3" s="2" t="inlineStr">
        <is>
          <t>Ficha de registro del pretest</t>
        </is>
      </c>
      <c r="B3" s="2" t="inlineStr">
        <is>
          <t>Código de convocatoria</t>
        </is>
      </c>
      <c r="C3" s="2" t="inlineStr">
        <is>
          <t>Identificador único de la convocatoria revisada en SEACE.</t>
        </is>
      </c>
    </row>
    <row r="4">
      <c r="A4" s="2" t="inlineStr">
        <is>
          <t>Ficha de registro del pretest</t>
        </is>
      </c>
      <c r="B4" s="2" t="inlineStr">
        <is>
          <t>Título de la convocatoria</t>
        </is>
      </c>
      <c r="C4" s="2" t="inlineStr">
        <is>
          <t>Nombre o denominación del proceso.</t>
        </is>
      </c>
    </row>
    <row r="5">
      <c r="A5" s="2" t="inlineStr">
        <is>
          <t>Ficha de registro del pretest</t>
        </is>
      </c>
      <c r="B5" s="2" t="inlineStr">
        <is>
          <t>Entidad convocante</t>
        </is>
      </c>
      <c r="C5" s="2" t="inlineStr">
        <is>
          <t>Institución pública responsable de la convocatoria.</t>
        </is>
      </c>
    </row>
    <row r="6">
      <c r="A6" s="3" t="inlineStr">
        <is>
          <t>Ficha de registro del pretest</t>
        </is>
      </c>
      <c r="B6" s="3" t="inlineStr">
        <is>
          <t>Rubro o categoría</t>
        </is>
      </c>
      <c r="C6" s="3" t="inlineStr">
        <is>
          <t>Sector o rubro asociado al giro de la empresa.</t>
        </is>
      </c>
    </row>
    <row r="7">
      <c r="A7" s="3" t="inlineStr">
        <is>
          <t>Ficha de registro del pretest</t>
        </is>
      </c>
      <c r="B7" s="3" t="inlineStr">
        <is>
          <t>Fecha de publicación</t>
        </is>
      </c>
      <c r="C7" s="3" t="inlineStr">
        <is>
          <t>Fecha y hora de publicación en SEACE.</t>
        </is>
      </c>
    </row>
    <row r="8">
      <c r="A8" s="3" t="inlineStr">
        <is>
          <t>Ficha de registro del pretest</t>
        </is>
      </c>
      <c r="B8" s="3" t="inlineStr">
        <is>
          <t>Fecha de detección manual</t>
        </is>
      </c>
      <c r="C8" s="3" t="inlineStr">
        <is>
          <t>Fecha y hora en que el personal identificó la convocatoria.</t>
        </is>
      </c>
    </row>
    <row r="9">
      <c r="A9" s="3" t="inlineStr">
        <is>
          <t>Ficha de registro del pretest</t>
        </is>
      </c>
      <c r="B9" s="3" t="inlineStr">
        <is>
          <t>Tiempo de búsqueda manual (min)</t>
        </is>
      </c>
      <c r="C9" s="3" t="inlineStr">
        <is>
          <t>Minutos empleados para ubicar y revisar la convocatoria.</t>
        </is>
      </c>
    </row>
    <row r="10">
      <c r="A10" s="3" t="inlineStr">
        <is>
          <t>Ficha de registro del pretest</t>
        </is>
      </c>
      <c r="B10" s="3" t="inlineStr">
        <is>
          <t>Tiempo de desfase manual (h)</t>
        </is>
      </c>
      <c r="C10" s="3" t="inlineStr">
        <is>
          <t>Horas entre publicación y detección manual.</t>
        </is>
      </c>
    </row>
    <row r="11">
      <c r="A11" s="3" t="inlineStr">
        <is>
          <t>Ficha de registro del pretest</t>
        </is>
      </c>
      <c r="B11" s="3" t="inlineStr">
        <is>
          <t>Monto estimado (S/)</t>
        </is>
      </c>
      <c r="C11" s="3" t="inlineStr">
        <is>
          <t>Valor económico estimado del proceso.</t>
        </is>
      </c>
    </row>
    <row r="12">
      <c r="A12" s="3" t="inlineStr">
        <is>
          <t>Ficha de registro del pretest</t>
        </is>
      </c>
      <c r="B12" s="3" t="inlineStr">
        <is>
          <t>Estado de la convocatoria</t>
        </is>
      </c>
      <c r="C12" s="3" t="inlineStr">
        <is>
          <t>Activa, cerrada, anulada u otro estado visible.</t>
        </is>
      </c>
    </row>
    <row r="13">
      <c r="A13" s="3" t="inlineStr">
        <is>
          <t>Ficha de registro del pretest</t>
        </is>
      </c>
      <c r="B13" s="3" t="inlineStr">
        <is>
          <t>Total de campos revisados</t>
        </is>
      </c>
      <c r="C13" s="3" t="inlineStr">
        <is>
          <t>Cantidad de campos contrastados con SEACE.</t>
        </is>
      </c>
    </row>
    <row r="14">
      <c r="A14" s="3" t="inlineStr">
        <is>
          <t>Ficha de registro del pretest</t>
        </is>
      </c>
      <c r="B14" s="3" t="inlineStr">
        <is>
          <t>Errores u omisiones detectadas</t>
        </is>
      </c>
      <c r="C14" s="3" t="inlineStr">
        <is>
          <t>Cantidad de campos incompletos, duplicados o inconsistentes.</t>
        </is>
      </c>
    </row>
    <row r="15">
      <c r="A15" s="3" t="inlineStr">
        <is>
          <t>Ficha de registro del pretest</t>
        </is>
      </c>
      <c r="B15" s="3" t="inlineStr">
        <is>
          <t>Campos correctos</t>
        </is>
      </c>
      <c r="C15" s="3" t="inlineStr">
        <is>
          <t>Campos revisados menos errores u omisiones.</t>
        </is>
      </c>
    </row>
    <row r="16">
      <c r="A16" s="3" t="inlineStr">
        <is>
          <t>Ficha de registro del pretest</t>
        </is>
      </c>
      <c r="B16" s="3" t="inlineStr">
        <is>
          <t>Cobertura manual</t>
        </is>
      </c>
      <c r="C16" s="3" t="inlineStr">
        <is>
          <t>Sí/No: indica si la convocatoria fue detectada por el método manual.</t>
        </is>
      </c>
    </row>
    <row r="17">
      <c r="A17" s="3" t="inlineStr">
        <is>
          <t>Ficha de registro del pretest</t>
        </is>
      </c>
      <c r="B17" s="3" t="inlineStr">
        <is>
          <t>Responsable del registro</t>
        </is>
      </c>
      <c r="C17" s="3" t="inlineStr">
        <is>
          <t>Personal que realizó la revisión manual.</t>
        </is>
      </c>
    </row>
    <row r="18">
      <c r="A18" s="3" t="inlineStr">
        <is>
          <t>Ficha de registro del pretest</t>
        </is>
      </c>
      <c r="B18" s="3" t="inlineStr">
        <is>
          <t>Observaciones</t>
        </is>
      </c>
      <c r="C18" s="3" t="inlineStr">
        <is>
          <t>Comentarios relevantes del proceso manual.</t>
        </is>
      </c>
    </row>
    <row r="19">
      <c r="A19" s="3" t="inlineStr">
        <is>
          <t>Ficha de registro del postest</t>
        </is>
      </c>
      <c r="B19" s="3" t="inlineStr">
        <is>
          <t>N</t>
        </is>
      </c>
      <c r="C19" s="3" t="inlineStr">
        <is>
          <t>Número correlativo del registro.</t>
        </is>
      </c>
    </row>
    <row r="20">
      <c r="A20" s="3" t="inlineStr">
        <is>
          <t>Ficha de registro del postest</t>
        </is>
      </c>
      <c r="B20" s="3" t="inlineStr">
        <is>
          <t>Código de convocatoria</t>
        </is>
      </c>
      <c r="C20" s="3" t="inlineStr">
        <is>
          <t>Identificador único capturado por el sistema.</t>
        </is>
      </c>
    </row>
    <row r="21">
      <c r="A21" s="3" t="inlineStr">
        <is>
          <t>Ficha de registro del postest</t>
        </is>
      </c>
      <c r="B21" s="3" t="inlineStr">
        <is>
          <t>Título de la convocatoria</t>
        </is>
      </c>
      <c r="C21" s="3" t="inlineStr">
        <is>
          <t>Nombre o denominación extraída automáticamente.</t>
        </is>
      </c>
    </row>
    <row r="22">
      <c r="A22" s="3" t="inlineStr">
        <is>
          <t>Ficha de registro del postest</t>
        </is>
      </c>
      <c r="B22" s="3" t="inlineStr">
        <is>
          <t>Entidad convocante</t>
        </is>
      </c>
      <c r="C22" s="3" t="inlineStr">
        <is>
          <t>Institución pública obtenida por scraping.</t>
        </is>
      </c>
    </row>
    <row r="23">
      <c r="A23" s="3" t="inlineStr">
        <is>
          <t>Ficha de registro del postest</t>
        </is>
      </c>
      <c r="B23" s="3" t="inlineStr">
        <is>
          <t>Rubro o categoría</t>
        </is>
      </c>
      <c r="C23" s="3" t="inlineStr">
        <is>
          <t>Clasificación asignada por el sistema.</t>
        </is>
      </c>
    </row>
    <row r="24">
      <c r="A24" s="3" t="inlineStr">
        <is>
          <t>Ficha de registro del postest</t>
        </is>
      </c>
      <c r="B24" s="3" t="inlineStr">
        <is>
          <t>Fecha de publicación</t>
        </is>
      </c>
      <c r="C24" s="3" t="inlineStr">
        <is>
          <t>Fecha y hora obtenida desde SEACE.</t>
        </is>
      </c>
    </row>
    <row r="25">
      <c r="A25" s="3" t="inlineStr">
        <is>
          <t>Ficha de registro del postest</t>
        </is>
      </c>
      <c r="B25" s="3" t="inlineStr">
        <is>
          <t>Fecha de detección automática</t>
        </is>
      </c>
      <c r="C25" s="3" t="inlineStr">
        <is>
          <t>Fecha y hora en que la plataforma registró la convocatoria.</t>
        </is>
      </c>
    </row>
    <row r="26">
      <c r="A26" s="3" t="inlineStr">
        <is>
          <t>Ficha de registro del postest</t>
        </is>
      </c>
      <c r="B26" s="3" t="inlineStr">
        <is>
          <t>Tiempo de extracción (seg)</t>
        </is>
      </c>
      <c r="C26" s="3" t="inlineStr">
        <is>
          <t>Segundos requeridos por el scraping para obtener datos.</t>
        </is>
      </c>
    </row>
    <row r="27">
      <c r="A27" s="3" t="inlineStr">
        <is>
          <t>Ficha de registro del postest</t>
        </is>
      </c>
      <c r="B27" s="3" t="inlineStr">
        <is>
          <t>Tiempo de alerta (min)</t>
        </is>
      </c>
      <c r="C27" s="3" t="inlineStr">
        <is>
          <t>Minutos transcurridos hasta mostrar o notificar la convocatoria relevante.</t>
        </is>
      </c>
    </row>
    <row r="28">
      <c r="A28" s="3" t="inlineStr">
        <is>
          <t>Ficha de registro del postest</t>
        </is>
      </c>
      <c r="B28" s="3" t="inlineStr">
        <is>
          <t>Monto estimado (S/)</t>
        </is>
      </c>
      <c r="C28" s="3" t="inlineStr">
        <is>
          <t>Valor económico procesado por la plataforma.</t>
        </is>
      </c>
    </row>
    <row r="29">
      <c r="A29" s="3" t="inlineStr">
        <is>
          <t>Ficha de registro del postest</t>
        </is>
      </c>
      <c r="B29" s="3" t="inlineStr">
        <is>
          <t>Estado de la convocatoria</t>
        </is>
      </c>
      <c r="C29" s="3" t="inlineStr">
        <is>
          <t>Activa, cerrada, anulada u otro estado capturado.</t>
        </is>
      </c>
    </row>
    <row r="30">
      <c r="A30" s="3" t="inlineStr">
        <is>
          <t>Ficha de registro del postest</t>
        </is>
      </c>
      <c r="B30" s="3" t="inlineStr">
        <is>
          <t>Total de campos extraídos</t>
        </is>
      </c>
      <c r="C30" s="3" t="inlineStr">
        <is>
          <t>Cantidad de campos obtenidos por la plataforma.</t>
        </is>
      </c>
    </row>
    <row r="31">
      <c r="A31" s="3" t="inlineStr">
        <is>
          <t>Ficha de registro del postest</t>
        </is>
      </c>
      <c r="B31" s="3" t="inlineStr">
        <is>
          <t>Campos correctos</t>
        </is>
      </c>
      <c r="C31" s="3" t="inlineStr">
        <is>
          <t>Campos que coinciden con la información real del portal SEACE.</t>
        </is>
      </c>
    </row>
    <row r="32">
      <c r="A32" s="3" t="inlineStr">
        <is>
          <t>Ficha de registro del postest</t>
        </is>
      </c>
      <c r="B32" s="3" t="inlineStr">
        <is>
          <t>Precisión de extracción (%)</t>
        </is>
      </c>
      <c r="C32" s="3" t="inlineStr">
        <is>
          <t>Porcentaje de coincidencia entre datos extraídos y datos reales.</t>
        </is>
      </c>
    </row>
    <row r="33">
      <c r="A33" s="3" t="inlineStr">
        <is>
          <t>Ficha de registro del postest</t>
        </is>
      </c>
      <c r="B33" s="3" t="inlineStr">
        <is>
          <t>Cobertura automática</t>
        </is>
      </c>
      <c r="C33" s="3" t="inlineStr">
        <is>
          <t>Sí/No: indica si el sistema capturó la convocatoria del rubro.</t>
        </is>
      </c>
    </row>
    <row r="34">
      <c r="A34" s="3" t="inlineStr">
        <is>
          <t>Ficha de registro del postest</t>
        </is>
      </c>
      <c r="B34" s="3" t="inlineStr">
        <is>
          <t>Responsable de validación</t>
        </is>
      </c>
      <c r="C34" s="3" t="inlineStr">
        <is>
          <t>Persona que validó la extracción automática.</t>
        </is>
      </c>
    </row>
    <row r="35">
      <c r="A35" s="3" t="inlineStr">
        <is>
          <t>Ficha de registro del postest</t>
        </is>
      </c>
      <c r="B35" s="3" t="inlineStr">
        <is>
          <t>Observaciones</t>
        </is>
      </c>
      <c r="C35" s="3" t="inlineStr">
        <is>
          <t>Comentarios sobre fallas, alertas o validaciones del sistema.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55" customWidth="1" min="4" max="4"/>
    <col width="55" customWidth="1" min="5" max="5"/>
    <col width="55" customWidth="1" min="6" max="6"/>
    <col width="42" customWidth="1" min="7" max="7"/>
    <col width="34" customWidth="1" min="8" max="8"/>
    <col width="45" customWidth="1" min="9" max="9"/>
    <col width="46" customWidth="1" min="10" max="10"/>
    <col width="39" customWidth="1" min="11" max="11"/>
  </cols>
  <sheetData>
    <row r="1">
      <c r="A1" s="1" t="inlineStr">
        <is>
          <t>Indicador</t>
        </is>
      </c>
      <c r="B1" s="1" t="inlineStr">
        <is>
          <t>Unidad</t>
        </is>
      </c>
      <c r="C1" s="1" t="inlineStr">
        <is>
          <t>Objetivo específico</t>
        </is>
      </c>
      <c r="D1" s="1" t="inlineStr">
        <is>
          <t>Medición pretest</t>
        </is>
      </c>
      <c r="E1" s="1" t="inlineStr">
        <is>
          <t>Medición postest</t>
        </is>
      </c>
      <c r="F1" s="1" t="inlineStr">
        <is>
          <t>Valor pretest</t>
        </is>
      </c>
      <c r="G1" s="1" t="inlineStr">
        <is>
          <t>Valor postest</t>
        </is>
      </c>
      <c r="H1" s="1" t="inlineStr">
        <is>
          <t>Diferencia</t>
        </is>
      </c>
      <c r="I1" s="1" t="inlineStr">
        <is>
          <t>Mejora (%)</t>
        </is>
      </c>
      <c r="J1" s="1" t="inlineStr">
        <is>
          <t>Técnica de cálculo</t>
        </is>
      </c>
      <c r="K1" s="1" t="inlineStr">
        <is>
          <t>Interpretación</t>
        </is>
      </c>
    </row>
    <row r="2">
      <c r="A2" s="2" t="inlineStr">
        <is>
          <t>Tiempo de búsqueda</t>
        </is>
      </c>
      <c r="B2" s="2" t="inlineStr">
        <is>
          <t>min/seg</t>
        </is>
      </c>
      <c r="C2" s="2" t="inlineStr">
        <is>
          <t>Reducir el tiempo de búsqueda de convocatorias estatales.</t>
        </is>
      </c>
      <c r="D2" s="2" t="inlineStr">
        <is>
          <t>Promedio de minutos invertidos manualmente.</t>
        </is>
      </c>
      <c r="E2" s="2" t="inlineStr">
        <is>
          <t>Promedio de segundos requeridos por el scraping.</t>
        </is>
      </c>
      <c r="F2" s="2">
        <f>AVERAGE('Ficha Pretest'!H2:H31)</f>
        <v/>
      </c>
      <c r="G2" s="2">
        <f>AVERAGE('Ficha Postest'!H2:H31)/60</f>
        <v/>
      </c>
      <c r="H2" s="2">
        <f>IF(AND(F2&lt;&gt;"",G2&lt;&gt;""),G2-F2,"")</f>
        <v/>
      </c>
      <c r="I2" s="4">
        <f>IF(AND(F2&lt;&gt;"",G2&lt;&gt;"",F2&lt;&gt;0),(F2-G2)/F2,"")</f>
        <v/>
      </c>
      <c r="J2" s="2" t="inlineStr">
        <is>
          <t>((Pretest - Postest en min) / Pretest) x 100</t>
        </is>
      </c>
      <c r="K2" s="2" t="inlineStr">
        <is>
          <t>Menor valor en postest indica mejora.</t>
        </is>
      </c>
    </row>
    <row r="3">
      <c r="A3" s="2" t="inlineStr">
        <is>
          <t>Precisión de datos</t>
        </is>
      </c>
      <c r="B3" s="2" t="inlineStr">
        <is>
          <t>%</t>
        </is>
      </c>
      <c r="C3" s="2" t="inlineStr">
        <is>
          <t>Mejorar la precisión de la información recopilada desde SEACE.</t>
        </is>
      </c>
      <c r="D3" s="2" t="inlineStr">
        <is>
          <t>Campos correctos / total de campos revisados.</t>
        </is>
      </c>
      <c r="E3" s="2" t="inlineStr">
        <is>
          <t>Campos correctos / total de campos extraídos.</t>
        </is>
      </c>
      <c r="F3" s="4">
        <f>SUM('Ficha Pretest'!N2:N31)/SUM('Ficha Pretest'!L2:L31)</f>
        <v/>
      </c>
      <c r="G3" s="4">
        <f>AVERAGE('Ficha Postest'!N2:N31)</f>
        <v/>
      </c>
      <c r="H3" s="2">
        <f>IF(AND(F3&lt;&gt;"",G3&lt;&gt;""),G3-F3,"")</f>
        <v/>
      </c>
      <c r="I3" s="4">
        <f>IF(AND(F3&lt;&gt;"",G3&lt;&gt;"",F3&lt;&gt;0),(G3-F3)/F3,"")</f>
        <v/>
      </c>
      <c r="J3" s="2" t="inlineStr">
        <is>
          <t>Postest - Pretest</t>
        </is>
      </c>
      <c r="K3" s="2" t="inlineStr">
        <is>
          <t>Mayor valor en postest indica mejora.</t>
        </is>
      </c>
    </row>
    <row r="4">
      <c r="A4" s="2" t="inlineStr">
        <is>
          <t>Tiempo de identificación</t>
        </is>
      </c>
      <c r="B4" s="2" t="inlineStr">
        <is>
          <t>horas/min</t>
        </is>
      </c>
      <c r="C4" s="2" t="inlineStr">
        <is>
          <t>Incrementar la oportunidad de identificación de convocatorias relevantes.</t>
        </is>
      </c>
      <c r="D4" s="2" t="inlineStr">
        <is>
          <t>Promedio del desfase entre publicación y detección manual.</t>
        </is>
      </c>
      <c r="E4" s="2" t="inlineStr">
        <is>
          <t>Promedio del tiempo entre publicación y alerta automática.</t>
        </is>
      </c>
      <c r="F4" s="2">
        <f>AVERAGE('Ficha Pretest'!I2:I31)</f>
        <v/>
      </c>
      <c r="G4" s="2">
        <f>AVERAGE('Ficha Postest'!I2:I31)/60</f>
        <v/>
      </c>
      <c r="H4" s="2">
        <f>IF(AND(F4&lt;&gt;"",G4&lt;&gt;""),G4-F4,"")</f>
        <v/>
      </c>
      <c r="I4" s="4">
        <f>IF(AND(F4&lt;&gt;"",G4&lt;&gt;"",F4&lt;&gt;0),(F4-G4)/F4,"")</f>
        <v/>
      </c>
      <c r="J4" s="2" t="inlineStr">
        <is>
          <t>((Pretest - Postest) / Pretest) x 100</t>
        </is>
      </c>
      <c r="K4" s="2" t="inlineStr">
        <is>
          <t>Menor valor en postest indica mejora.</t>
        </is>
      </c>
    </row>
    <row r="5">
      <c r="A5" s="2" t="inlineStr">
        <is>
          <t>Esfuerzo manual</t>
        </is>
      </c>
      <c r="B5" s="2" t="inlineStr">
        <is>
          <t>horas-hombre</t>
        </is>
      </c>
      <c r="C5" s="2" t="inlineStr">
        <is>
          <t>Reducir el esfuerzo manual en el monitoreo de convocatorias.</t>
        </is>
      </c>
      <c r="D5" s="2" t="inlineStr">
        <is>
          <t>Horas dedicadas al monitoreo, filtrado y registro manual.</t>
        </is>
      </c>
      <c r="E5" s="2" t="inlineStr">
        <is>
          <t>Horas requeridas para supervisar la ejecución automatizada.</t>
        </is>
      </c>
      <c r="F5" s="2" t="inlineStr"/>
      <c r="G5" s="2" t="inlineStr"/>
      <c r="H5" s="2">
        <f>IF(AND(F5&lt;&gt;"",G5&lt;&gt;""),G5-F5,"")</f>
        <v/>
      </c>
      <c r="I5" s="4">
        <f>IF(AND(F5&lt;&gt;"",G5&lt;&gt;"",F5&lt;&gt;0),(F5-G5)/F5,"")</f>
        <v/>
      </c>
      <c r="J5" s="2" t="inlineStr">
        <is>
          <t>Pretest - Postest y porcentaje de reducción.</t>
        </is>
      </c>
      <c r="K5" s="2" t="inlineStr">
        <is>
          <t>Menor valor en postest indica mejora.</t>
        </is>
      </c>
    </row>
    <row r="6">
      <c r="A6" s="3" t="inlineStr">
        <is>
          <t>Cobertura de seguimiento</t>
        </is>
      </c>
      <c r="B6" s="3" t="inlineStr">
        <is>
          <t>%</t>
        </is>
      </c>
      <c r="C6" s="3" t="inlineStr">
        <is>
          <t>Mejorar la cobertura de seguimiento de convocatorias estatales.</t>
        </is>
      </c>
      <c r="D6" s="3" t="inlineStr">
        <is>
          <t>Convocatorias detectadas manualmente / total de la muestra.</t>
        </is>
      </c>
      <c r="E6" s="3" t="inlineStr">
        <is>
          <t>Convocatorias capturadas por el sistema / total de la muestra.</t>
        </is>
      </c>
      <c r="F6" s="5">
        <f>COUNTIF('Ficha Pretest'!O2:O31,"Sí")/30</f>
        <v/>
      </c>
      <c r="G6" s="5">
        <f>COUNTIF('Ficha Postest'!O2:O31,"Sí")/30</f>
        <v/>
      </c>
      <c r="H6" s="3">
        <f>IF(AND(F6&lt;&gt;"",G6&lt;&gt;""),G6-F6,"")</f>
        <v/>
      </c>
      <c r="I6" s="5">
        <f>IF(AND(F6&lt;&gt;"",G6&lt;&gt;"",F6&lt;&gt;0),(G6-F6)/F6,"")</f>
        <v/>
      </c>
      <c r="J6" s="3" t="inlineStr">
        <is>
          <t>Postest - Pretest</t>
        </is>
      </c>
      <c r="K6" s="3" t="inlineStr">
        <is>
          <t>Mayor valor en postest indica mejora.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60" customWidth="1" min="3" max="3"/>
    <col width="58" customWidth="1" min="4" max="4"/>
    <col width="15" customWidth="1" min="5" max="5"/>
    <col width="60" customWidth="1" min="6" max="6"/>
  </cols>
  <sheetData>
    <row r="1">
      <c r="A1" s="1" t="inlineStr">
        <is>
          <t>Objetivo específico</t>
        </is>
      </c>
      <c r="B1" s="1" t="inlineStr">
        <is>
          <t>Indicador</t>
        </is>
      </c>
      <c r="C1" s="1" t="inlineStr">
        <is>
          <t>Definición operacional</t>
        </is>
      </c>
      <c r="D1" s="1" t="inlineStr">
        <is>
          <t>Instrumento</t>
        </is>
      </c>
      <c r="E1" s="1" t="inlineStr">
        <is>
          <t>Escala/Unidad</t>
        </is>
      </c>
      <c r="F1" s="1" t="inlineStr">
        <is>
          <t>Fuente de datos</t>
        </is>
      </c>
    </row>
    <row r="2">
      <c r="A2" s="2" t="inlineStr">
        <is>
          <t>Reducir el tiempo de búsqueda de convocatorias estatales.</t>
        </is>
      </c>
      <c r="B2" s="2" t="inlineStr">
        <is>
          <t>Tiempo de búsqueda</t>
        </is>
      </c>
      <c r="C2" s="2" t="inlineStr">
        <is>
          <t>Comparación entre promedio de minutos invertidos manualmente. y promedio de segundos requeridos por el scraping.</t>
        </is>
      </c>
      <c r="D2" s="2" t="inlineStr">
        <is>
          <t>Ficha de pretest, ficha de postest y matriz comparativa.</t>
        </is>
      </c>
      <c r="E2" s="2" t="inlineStr">
        <is>
          <t>min/seg</t>
        </is>
      </c>
      <c r="F2" s="2" t="inlineStr">
        <is>
          <t>Portal SEACE, registros manuales y registros generados por la plataforma LicitIA.</t>
        </is>
      </c>
    </row>
    <row r="3">
      <c r="A3" s="2" t="inlineStr">
        <is>
          <t>Mejorar la precisión de la información recopilada desde SEACE.</t>
        </is>
      </c>
      <c r="B3" s="2" t="inlineStr">
        <is>
          <t>Precisión de datos</t>
        </is>
      </c>
      <c r="C3" s="2" t="inlineStr">
        <is>
          <t>Comparación entre campos correctos / total de campos revisados. y campos correctos / total de campos extraídos.</t>
        </is>
      </c>
      <c r="D3" s="2" t="inlineStr">
        <is>
          <t>Ficha de pretest, ficha de postest y matriz comparativa.</t>
        </is>
      </c>
      <c r="E3" s="2" t="inlineStr">
        <is>
          <t>%</t>
        </is>
      </c>
      <c r="F3" s="2" t="inlineStr">
        <is>
          <t>Portal SEACE, registros manuales y registros generados por la plataforma LicitIA.</t>
        </is>
      </c>
    </row>
    <row r="4">
      <c r="A4" s="2" t="inlineStr">
        <is>
          <t>Incrementar la oportunidad de identificación de convocatorias relevantes.</t>
        </is>
      </c>
      <c r="B4" s="2" t="inlineStr">
        <is>
          <t>Tiempo de identificación</t>
        </is>
      </c>
      <c r="C4" s="2" t="inlineStr">
        <is>
          <t>Comparación entre promedio del desfase entre publicación y detección manual. y promedio del tiempo entre publicación y alerta automática.</t>
        </is>
      </c>
      <c r="D4" s="2" t="inlineStr">
        <is>
          <t>Ficha de pretest, ficha de postest y matriz comparativa.</t>
        </is>
      </c>
      <c r="E4" s="2" t="inlineStr">
        <is>
          <t>horas/min</t>
        </is>
      </c>
      <c r="F4" s="2" t="inlineStr">
        <is>
          <t>Portal SEACE, registros manuales y registros generados por la plataforma LicitIA.</t>
        </is>
      </c>
    </row>
    <row r="5">
      <c r="A5" s="2" t="inlineStr">
        <is>
          <t>Reducir el esfuerzo manual en el monitoreo de convocatorias.</t>
        </is>
      </c>
      <c r="B5" s="2" t="inlineStr">
        <is>
          <t>Esfuerzo manual</t>
        </is>
      </c>
      <c r="C5" s="2" t="inlineStr">
        <is>
          <t>Comparación entre horas dedicadas al monitoreo, filtrado y registro manual. y horas requeridas para supervisar la ejecución automatizada.</t>
        </is>
      </c>
      <c r="D5" s="2" t="inlineStr">
        <is>
          <t>Ficha de pretest, ficha de postest y matriz comparativa.</t>
        </is>
      </c>
      <c r="E5" s="2" t="inlineStr">
        <is>
          <t>horas-hombre</t>
        </is>
      </c>
      <c r="F5" s="2" t="inlineStr">
        <is>
          <t>Portal SEACE, registros manuales y registros generados por la plataforma LicitIA.</t>
        </is>
      </c>
    </row>
    <row r="6">
      <c r="A6" s="3" t="inlineStr">
        <is>
          <t>Mejorar la cobertura de seguimiento de convocatorias estatales.</t>
        </is>
      </c>
      <c r="B6" s="3" t="inlineStr">
        <is>
          <t>Cobertura de seguimiento</t>
        </is>
      </c>
      <c r="C6" s="3" t="inlineStr">
        <is>
          <t>Comparación entre convocatorias detectadas manualmente / total de la muestra. y convocatorias capturadas por el sistema / total de la muestra.</t>
        </is>
      </c>
      <c r="D6" s="3" t="inlineStr">
        <is>
          <t>Ficha de pretest, ficha de postest y matriz comparativa.</t>
        </is>
      </c>
      <c r="E6" s="3" t="inlineStr">
        <is>
          <t>%</t>
        </is>
      </c>
      <c r="F6" s="3" t="inlineStr">
        <is>
          <t>Portal SEACE, registros manuales y registros generados por la plataforma LicitIA.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Aspecto</t>
        </is>
      </c>
      <c r="B1" s="1" t="inlineStr">
        <is>
          <t>Criterio propuesto</t>
        </is>
      </c>
    </row>
    <row r="2">
      <c r="A2" s="2" t="inlineStr">
        <is>
          <t>Validez de contenido</t>
        </is>
      </c>
      <c r="B2" s="2" t="inlineStr">
        <is>
          <t>Revisión por juicio de expertos considerando pertinencia, claridad, coherencia y suficiencia de cada campo del instrumento.</t>
        </is>
      </c>
    </row>
    <row r="3">
      <c r="A3" s="2" t="inlineStr">
        <is>
          <t>Confiabilidad</t>
        </is>
      </c>
      <c r="B3" s="2" t="inlineStr">
        <is>
          <t>Aplicación piloto sobre un subconjunto de convocatorias y contraste de resultados entre registro manual, salida del sistema y datos visibles en SEACE.</t>
        </is>
      </c>
    </row>
    <row r="4">
      <c r="A4" s="2" t="inlineStr">
        <is>
          <t>Control de sesgo</t>
        </is>
      </c>
      <c r="B4" s="2" t="inlineStr">
        <is>
          <t>Usar la misma muestra de 30 convocatorias para pretest y postest; registrar fecha y hora de cada medición.</t>
        </is>
      </c>
    </row>
    <row r="5">
      <c r="A5" s="2" t="inlineStr">
        <is>
          <t>Trazabilidad</t>
        </is>
      </c>
      <c r="B5" s="2" t="inlineStr">
        <is>
          <t>Conservar evidencia de la búsqueda manual, capturas del sistema y enlaces/códigos de convocatoria.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2026-06-11T20:03:12Z</dcterms:created>
  <dcterms:modified xmlns:dcterms="http://purl.org/dc/terms/" xmlns:xsi="http://www.w3.org/2001/XMLSchema-instance" xsi:type="dcterms:W3CDTF">2026-06-11T20:03:13Z</dcterms:modified>
</cp:coreProperties>
</file>