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yecto_Respalto_caps\outputs\instrumentos_recoleccion\"/>
    </mc:Choice>
  </mc:AlternateContent>
  <xr:revisionPtr revIDLastSave="0" documentId="13_ncr:1_{8537B68B-D750-46FA-B623-26CF29C3D364}"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Datos captura SEACE" sheetId="2" r:id="rId2"/>
    <sheet name="Supuestos de medición" sheetId="3" r:id="rId3"/>
    <sheet name="Ficha Pretest" sheetId="4" r:id="rId4"/>
    <sheet name="Ficha Postest" sheetId="5" r:id="rId5"/>
    <sheet name="Diccionario de campos" sheetId="6" r:id="rId6"/>
    <sheet name="Matriz Comparativa" sheetId="7" r:id="rId7"/>
    <sheet name="Operacionalización" sheetId="8" r:id="rId8"/>
    <sheet name="Validez y confiabilidad" sheetId="9" r:id="rId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6" i="7" l="1"/>
  <c r="H6" i="7" s="1"/>
  <c r="F6" i="7"/>
  <c r="G5" i="7"/>
  <c r="H5" i="7" s="1"/>
  <c r="F5" i="7"/>
  <c r="G4" i="7"/>
  <c r="G2" i="7"/>
  <c r="F2" i="7"/>
  <c r="I2" i="7" s="1"/>
  <c r="N31" i="5"/>
  <c r="N30" i="5"/>
  <c r="N29" i="5"/>
  <c r="N28" i="5"/>
  <c r="N27" i="5"/>
  <c r="N26" i="5"/>
  <c r="N25" i="5"/>
  <c r="N24" i="5"/>
  <c r="N23" i="5"/>
  <c r="N22" i="5"/>
  <c r="N21" i="5"/>
  <c r="N20" i="5"/>
  <c r="N19" i="5"/>
  <c r="N18" i="5"/>
  <c r="N17" i="5"/>
  <c r="N16" i="5"/>
  <c r="N15" i="5"/>
  <c r="N14" i="5"/>
  <c r="N13" i="5"/>
  <c r="N12" i="5"/>
  <c r="N11" i="5"/>
  <c r="N10" i="5"/>
  <c r="N9" i="5"/>
  <c r="N8" i="5"/>
  <c r="N7" i="5"/>
  <c r="N6" i="5"/>
  <c r="N5" i="5"/>
  <c r="N4" i="5"/>
  <c r="N3" i="5"/>
  <c r="N2" i="5"/>
  <c r="N31" i="4"/>
  <c r="I31" i="4"/>
  <c r="N30" i="4"/>
  <c r="I30" i="4"/>
  <c r="N29" i="4"/>
  <c r="I29" i="4"/>
  <c r="N28" i="4"/>
  <c r="I28" i="4"/>
  <c r="N27" i="4"/>
  <c r="I27" i="4"/>
  <c r="N26" i="4"/>
  <c r="I26" i="4"/>
  <c r="N25" i="4"/>
  <c r="I25" i="4"/>
  <c r="N24" i="4"/>
  <c r="I24" i="4"/>
  <c r="N23" i="4"/>
  <c r="I23" i="4"/>
  <c r="N22" i="4"/>
  <c r="I22" i="4"/>
  <c r="N21" i="4"/>
  <c r="I21" i="4"/>
  <c r="N20" i="4"/>
  <c r="I20" i="4"/>
  <c r="N19" i="4"/>
  <c r="I19" i="4"/>
  <c r="N18" i="4"/>
  <c r="I18" i="4"/>
  <c r="N17" i="4"/>
  <c r="I17" i="4"/>
  <c r="N16" i="4"/>
  <c r="I16" i="4"/>
  <c r="N15" i="4"/>
  <c r="I15" i="4"/>
  <c r="N14" i="4"/>
  <c r="I14" i="4"/>
  <c r="N13" i="4"/>
  <c r="I13" i="4"/>
  <c r="N12" i="4"/>
  <c r="I12" i="4"/>
  <c r="N11" i="4"/>
  <c r="I11" i="4"/>
  <c r="N10" i="4"/>
  <c r="I10" i="4"/>
  <c r="N9" i="4"/>
  <c r="I9" i="4"/>
  <c r="N8" i="4"/>
  <c r="I8" i="4"/>
  <c r="N7" i="4"/>
  <c r="I7" i="4"/>
  <c r="N6" i="4"/>
  <c r="I6" i="4"/>
  <c r="N5" i="4"/>
  <c r="I5" i="4"/>
  <c r="N4" i="4"/>
  <c r="I4" i="4"/>
  <c r="N3" i="4"/>
  <c r="I3" i="4"/>
  <c r="N2" i="4"/>
  <c r="I2" i="4"/>
  <c r="F4" i="7" s="1"/>
  <c r="I4" i="7" s="1"/>
  <c r="G3" i="7" l="1"/>
  <c r="I5" i="7"/>
  <c r="F3" i="7"/>
  <c r="I3" i="7" s="1"/>
  <c r="H2" i="7"/>
  <c r="I6" i="7"/>
  <c r="H4" i="7"/>
  <c r="H3"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Codex</author>
  </authors>
  <commentList>
    <comment ref="F5" authorId="0" shapeId="0" xr:uid="{00000000-0006-0000-0600-000001000000}">
      <text>
        <r>
          <rPr>
            <sz val="11"/>
            <color theme="1"/>
            <rFont val="Calibri"/>
            <family val="2"/>
            <scheme val="minor"/>
          </rPr>
          <t>Horas-hombre pretest calculadas como suma de minutos de búsqueda manual / 60.</t>
        </r>
      </text>
    </comment>
    <comment ref="G5" authorId="0" shapeId="0" xr:uid="{00000000-0006-0000-0600-000002000000}">
      <text>
        <r>
          <rPr>
            <sz val="11"/>
            <color theme="1"/>
            <rFont val="Calibri"/>
            <family val="2"/>
            <scheme val="minor"/>
          </rPr>
          <t>Horas-hombre postest calculadas como tiempo total de extracción / 3600 más 0.5 horas de supervisión.</t>
        </r>
      </text>
    </comment>
  </commentList>
</comments>
</file>

<file path=xl/sharedStrings.xml><?xml version="1.0" encoding="utf-8"?>
<sst xmlns="http://schemas.openxmlformats.org/spreadsheetml/2006/main" count="979" uniqueCount="301">
  <si>
    <t>Elemento</t>
  </si>
  <si>
    <t>Contenido</t>
  </si>
  <si>
    <t>Proyecto</t>
  </si>
  <si>
    <t>LicitIA - Plataforma web inteligente para la gestión de convocatorias estatales</t>
  </si>
  <si>
    <t>Finalidad</t>
  </si>
  <si>
    <t>Registrar y comparar el desempeño del proceso manual y del proceso automatizado de búsqueda, monitoreo y análisis de convocatorias estatales del portal SEACE.</t>
  </si>
  <si>
    <t>Muestra</t>
  </si>
  <si>
    <t>30 convocatorias estatales filtradas según el rubro de la empresa.</t>
  </si>
  <si>
    <t>Unidad de análisis</t>
  </si>
  <si>
    <t>Convocatoria estatal revisada manualmente o capturada automáticamente desde SEACE.</t>
  </si>
  <si>
    <t>Aplicación pretest</t>
  </si>
  <si>
    <t>Registrar los datos obtenidos durante la revisión manual antes de implementar o usar la plataforma web inteligente.</t>
  </si>
  <si>
    <t>Aplicación postest</t>
  </si>
  <si>
    <t>Ejecutar la plataforma LicitIA, capturar los datos mediante scraping y validar los resultados frente al portal SEACE.</t>
  </si>
  <si>
    <t>Criterio de precisión</t>
  </si>
  <si>
    <t>Precisión (%) = campos correctos / total de campos revisados o extraídos x 100.</t>
  </si>
  <si>
    <t>Criterio de cobertura</t>
  </si>
  <si>
    <t>Cobertura (%) = convocatorias detectadas o capturadas / total de convocatorias de la muestra x 100.</t>
  </si>
  <si>
    <t>Criterio de mejora</t>
  </si>
  <si>
    <t>Para indicadores de tiempo y esfuerzo, una reducción en el postest representa mejora. Para precisión y cobertura, un incremento en el postest representa mejora.</t>
  </si>
  <si>
    <t>N</t>
  </si>
  <si>
    <t>Entidad</t>
  </si>
  <si>
    <t>Fecha y hora de publicación</t>
  </si>
  <si>
    <t>Nomenclatura</t>
  </si>
  <si>
    <t>Reiniciado desde</t>
  </si>
  <si>
    <t>Objeto de contratación</t>
  </si>
  <si>
    <t>Descripción de objeto</t>
  </si>
  <si>
    <t>Monto estimado (S/)</t>
  </si>
  <si>
    <t>Moneda</t>
  </si>
  <si>
    <t>Versión SEACE</t>
  </si>
  <si>
    <t>Fuente</t>
  </si>
  <si>
    <t>IAFAS DEL EJERCITO DEL PERU (FOSPEME)</t>
  </si>
  <si>
    <t>11/06/2026 15:05</t>
  </si>
  <si>
    <t>LP Homologación-ABR-1-2026-IAFAS-EP-1</t>
  </si>
  <si>
    <t>Bien</t>
  </si>
  <si>
    <t>ADQUISICION DE CATÉTER ENDOVENOSO PERIFÉRICO PARA BENEFICIARIOS DE LA IAFAS EP</t>
  </si>
  <si>
    <t>Soles</t>
  </si>
  <si>
    <t>Capturas SEACE enviadas por el usuario el 11/06/2026</t>
  </si>
  <si>
    <t>MUNICIPALIDAD DISTRITAL DE SAN MARCOS</t>
  </si>
  <si>
    <t>11/06/2026 15:04</t>
  </si>
  <si>
    <t>CP-ABR-94-2026-MDSM/CS-1</t>
  </si>
  <si>
    <t>Servicio</t>
  </si>
  <si>
    <t>SERVICIO DE EJECUCIÓN DE ACTIVIDAD MANTENIMIENTO DE LA CAPTACIÓN DE AGUA POTABLE DE TISHGO-URURUPA EN EL CENTRO POBLADO PICHIU SAN PEDRO, DISTRITO DE SAN MARCOS-HUARI-ANCASH.</t>
  </si>
  <si>
    <t>MUNICIPALIDAD DISTRITAL DE TARACO</t>
  </si>
  <si>
    <t>CP-ABR-1-2026-MDT/C-1</t>
  </si>
  <si>
    <t>Consultoría de Obra</t>
  </si>
  <si>
    <t>CONTRATACIÓN DE CONSULTORÍA DE OBRA PARA LA SUPERVISIÓN DE LA OBRA MEJORAMIENTO DEL SERVICIO DE EDUCACIÓN PRIMARIA EN I.E. 72280 DE CENTRO POBLADO TUNI GRANDE DISTRITO DE TARACO DE LA PROVINCIA DE HUANCANÉ DEL DEPARTAMENTO DE PUNO CON CUI N° 2665391.</t>
  </si>
  <si>
    <t>MUNICIPALIDAD DISTRITAL DE SAN LUIS - LIMA</t>
  </si>
  <si>
    <t>11/06/2026 14:56</t>
  </si>
  <si>
    <t>CP-ABR-4-2026-MDSL/CS-1</t>
  </si>
  <si>
    <t>SERVICIO DE ALQUILER DE CÁMARAS, DISTRITO DE SAN LUIS, PROVINCIA DE LIMA, DEPARTAMENTO DE LIMA</t>
  </si>
  <si>
    <t>SEGURO SOCIAL DE SALUD</t>
  </si>
  <si>
    <t>11/06/2026 14:55</t>
  </si>
  <si>
    <t>INTER-PROC-3-2026-ESSALUD/CEABE-1</t>
  </si>
  <si>
    <t>Contratación Internacional del Producto Farmacéutico CINCALCET 30MG - AM CÓD.SAP 010750071, para los Establecimientos de Salud de las Redes Asistenciales de EsSalud</t>
  </si>
  <si>
    <t>PROGRAMA NACIONAL DE TELECOMUNICACIONES</t>
  </si>
  <si>
    <t>11/06/2026 14:51</t>
  </si>
  <si>
    <t>CP SER-SM-3-2025-MTC/24-1</t>
  </si>
  <si>
    <t>Servicio de limpieza para las oficinas administrativas de la Sede Central, los locales NOC Huachipa, Archivo Central y Almacén Central del Programa Nacional de Telecomunicaciones - PRONATEL</t>
  </si>
  <si>
    <t>GOBIERNO REGIONAL DE AMAZONAS - SUB REGION DE SALUD BAGUA</t>
  </si>
  <si>
    <t>11/06/2026 14:50</t>
  </si>
  <si>
    <t>LP-ABR-4-2026-DRSB-1</t>
  </si>
  <si>
    <t>ADQUISICION DE MICROCUBETAS DESCARTABLES PARA HEMOGLOBINOMETRO X 50 UNI</t>
  </si>
  <si>
    <t>MUNICIPALIDAD PROVINCIAL DE SAN MARTIN - TARAPOTO</t>
  </si>
  <si>
    <t>11/06/2026 14:47</t>
  </si>
  <si>
    <t>LP Homologación-ABR-1-2026-MPSM/OC-1</t>
  </si>
  <si>
    <t>CONTRATACIÓN DE BIENES PARA LA ADQUISICIÓN DE ARROZ FORTIFICADO SUPERIOR PARA EL PROGRAMA DE COMPLEMENTACIÓN ALIMENTARIA - MODALIDAD DEL PCA (COMEDORES POPULARES) DE LA SUB GERENCIA DE PROGRAMAS SOCIALES Y NUTRICIÓN INFANTIL DE LA MUNICIPALIDAD PROVINCIAL DE SAN MARTÍN</t>
  </si>
  <si>
    <t>MUNICIPALIDAD PROVINCIAL DE MARISCAL NIETO - MOQUEGUA</t>
  </si>
  <si>
    <t>11/06/2026 14:45</t>
  </si>
  <si>
    <t>CP-ABR-3-2026-OC-MPMN-2</t>
  </si>
  <si>
    <t>SERVICIO DE PREPARACIÓN Y COLOCACIÓN DE MEZCLA ASFÁLTICA EN CALIENTE PARA EL PROYECTO: CREACIÓN DEL SERVICIO DE PROTECCIÓN Y PREVENCIÓN DE RIESGOS DE LA CALLE 9 DE OCTUBRE DEL CTE-11 DE LA JUNTA VECINAL SAN FRANCISCO ZONA III, EN EL CENTRO POBLADO DE SAN FRANCISCO, DISTRITO - PROVINCIA DE MARISCAL NIETO.</t>
  </si>
  <si>
    <t>MUNICIPALIDAD DISTRITAL DE SANTA MARIA DE CHICMO</t>
  </si>
  <si>
    <t>11/06/2026 14:33</t>
  </si>
  <si>
    <t>CP-ABR-2-2026-MDSMCH-1</t>
  </si>
  <si>
    <t>CONSULTORÍA DE OBRA PARA LA SUPERVISIÓN DE LA OBRA: MEJORAMIENTO DEL SERVICIO DE AGUA PARA RIEGO EN LOS SECTORES DE VACARUNI MOYURCCO, CCENUACUCHO, SUYTOCCO, CHAUPIOCCO, CCONCCATAY PUCCHUAS YAHUARI, DEL DISTRITO DE SANTA MARÍA DE CHICMO, PROVINCIA DE ANDAHUAYLAS REGIÓN APURÍMAC; CON CUI N° 237</t>
  </si>
  <si>
    <t>GOBIERNO REGIONAL DE PIURA - GERENCIA SUBREGIONAL LUCIANO CASTILLO COLONNA</t>
  </si>
  <si>
    <t>11/06/2026 14:25</t>
  </si>
  <si>
    <t>LP-ABR-1-2026-GRP-GSRLCC-G-1</t>
  </si>
  <si>
    <t>Integración de las Bases</t>
  </si>
  <si>
    <t>ADQUISICIÓN DE UNIFORME INSTITUCIONAL PARA PERSONAL DE LA GERENCIA SUBREGIONAL LUCIANO CASTILLO COLONNA AÑO 2026.</t>
  </si>
  <si>
    <t>GOBIERNO REGIONAL DE TACNA RED DE SALUD TACNA</t>
  </si>
  <si>
    <t>11/06/2026 14:24</t>
  </si>
  <si>
    <t>SIE-SIE-2-2026-REDS.T-1</t>
  </si>
  <si>
    <t>SUMINISTRO DE MEDICAMENTOS PARA LA UNIDAD DE MEDICAMENTOS INSUMOS Y DROGAS PARA LA RED DE SALUD TACNA</t>
  </si>
  <si>
    <t>MINISTERIO DE VIVIENDA, CONSTRUCCIÓN Y SANEAMIENTO - ADMINISTRACION GENERAL</t>
  </si>
  <si>
    <t>11/06/2026 14:22</t>
  </si>
  <si>
    <t>SIE-SIE-1-2026-VIVIENDA-OGA-UE-1</t>
  </si>
  <si>
    <t>ADQUISICIÓN DE COMBUSTIBLE DIESEL B5 S-50 PARA LA EJECUCIÓN DE INTERVENCIONES DE PREVENCIÓN Y MITIGACIÓN DE RIESGOS A CARGO DE LA UNIDAD BÁSICA OPERATIVA LIMA DEL PNC MAQUINARIAS</t>
  </si>
  <si>
    <t>ORGANISMO TECNICO DE LA ADMINISTRACION DE SERVICIOS DE SANEAMIENTO</t>
  </si>
  <si>
    <t>11/06/2026 14:21</t>
  </si>
  <si>
    <t>LP-ABR-1-2026-OTASS-1</t>
  </si>
  <si>
    <t>ADQUISICIÓN DE CÁMARA DE VIDEO PORTÁTIL PARA INSPECCIÓN DE POZOS TUBULARES PROFUNDOS DE HASTA 300 M DE PROFUNDIDAD</t>
  </si>
  <si>
    <t>CORTE SUPERIOR DE JUSTICIA DE LIMA NORTE</t>
  </si>
  <si>
    <t>11/06/2026 14:15</t>
  </si>
  <si>
    <t>CP-ABR-1-2026-C-CSJLN-PJ-1</t>
  </si>
  <si>
    <t>Admisión de propuesta técnica</t>
  </si>
  <si>
    <t>SERVICIO DE UN MEDICO OCUPACIONAL PARA LA CORTE SUPERIOR DE JUSTICIA DE LIMA NORTE</t>
  </si>
  <si>
    <t>CENTRO VACACIONAL HUAMPANI</t>
  </si>
  <si>
    <t>LP-ABR-3-2026-CVH-CS-1-1</t>
  </si>
  <si>
    <t>ADQUISICIÓN DE LECHE Y YOGURT PARA EL CENTRO VACACIONAL HUAMPANI</t>
  </si>
  <si>
    <t>AGENCIA DE PROMOCION DE LA INVERSION PRIVADA - PROINVERSION</t>
  </si>
  <si>
    <t>11/06/2026 13:44</t>
  </si>
  <si>
    <t>DIRECTA-DIRECTA-2-2026-PROINVERSION-1</t>
  </si>
  <si>
    <t>Servicio de un Estudio de Abogado para la defensa y asesoría legal del ex servidor Alberto Javier Pascó-Font Quevedo, en su condición de ex miembro del Comité de PROINVERSIÓN - IIRSA Sur Tramo IV</t>
  </si>
  <si>
    <t>MUNICIPALIDAD DISTRITAL DE PAJARILLO</t>
  </si>
  <si>
    <t>11/06/2026 13:33</t>
  </si>
  <si>
    <t>LP-ABR-2-2026-MDP/C-1</t>
  </si>
  <si>
    <t>Obra</t>
  </si>
  <si>
    <t>CONTRATACIÓN PARA LA EJECUCIÓN DE LA OBRA: CONSTRUCCIÓN DE SISTEMA DE ABASTECIMIENTO DE AGUA POTABLE; EN EL(LA) LOCALIDAD DE CAPIRONA, DISTRITO DE PAJARILLO, PROVINCIA MARISCAL CÁCERES, DEPARTAMENTO SAN MARTÍN, CÓDIGO ÚNICO DE INVERSIONES N° 2718795</t>
  </si>
  <si>
    <t>GOBIERNO REGIONAL DE AMAZONAS SEDE CENTRAL</t>
  </si>
  <si>
    <t>11/06/2026 13:27</t>
  </si>
  <si>
    <t>CP-ABR-7-2026-GRA/C-1</t>
  </si>
  <si>
    <t>CONTRATACIÓN DEL SERVICIO DE AMPLIACIÓN DE INFRAESTRUCTURA DE ABASTECIMIENTO DE AGUA Y ENGORDE DE TRUCHA PARA LA EJECUCIÓN DEL PLAN DE NEGOCIO AMPLIACIÓN Y MEJORAMIENTO DE INFRAESTRUCTURA PARA LA CRIANZA DE TRUCHA ARCOIRIS DE LA ASOCIACIÓN AGROPECUARIA YUYA, DISTRITO DE MAGDALENA, PROVINCIA DE CHACHAPOYAS, REGIÓN AMAZONAS CON CUI 2714018</t>
  </si>
  <si>
    <t>MUNICIPALIDAD DISTRITAL DE HUANCHACO</t>
  </si>
  <si>
    <t>11/06/2026 13:19</t>
  </si>
  <si>
    <t>LP-ABR-6-2026-MDH/CS-1</t>
  </si>
  <si>
    <t>AMPLIACIÓN DEL SERVICIO DE MOVILIDAD URBANA EN 2 CALLES DEL SECTOR LAS LOMAS I DISTRITO DE HUANCHACO DE LA PROVINCIA DE TRUJILLO DEL DEPARTAMENTO DE LA LIBERTAD CON CUI N° 2707079</t>
  </si>
  <si>
    <t>GOBIERNO REGIONAL DEL CALLAO - HOSPITAL DE APOYO SAN JOSE</t>
  </si>
  <si>
    <t>11/06/2026 13:11</t>
  </si>
  <si>
    <t>SIE-SIE-3-2026-GRC/UL-HSJ-1</t>
  </si>
  <si>
    <t>ADQUISICIÓN DE ALIMENTOS CON FICHA TÉCNICA PARA PERSONAS - FRUTAS Y DERIVADOS</t>
  </si>
  <si>
    <t>MUNICIPALIDAD DISTRITAL DE URARINAS</t>
  </si>
  <si>
    <t>11/06/2026 13:08</t>
  </si>
  <si>
    <t>SIE-SIE-4-2026-MDU-DEC-1</t>
  </si>
  <si>
    <t>ADQUISICIÓN DE COMBUSTIBLE GASOLINA DE 84 OCTANOS PARA EL TRASLADO DE ESTUDIANTES EN LA EMBARCACIÓN FLUVIAL A LA COMUNIDAD DE CONCORDIA DEL DISTRITO DE URARINAS</t>
  </si>
  <si>
    <t>INSTITUTO NACIONAL DE INNOVACION AGRARIA - INIA</t>
  </si>
  <si>
    <t>11/06/2026 12:59</t>
  </si>
  <si>
    <t>CP-ABR-16-2026-2016-INIA-1</t>
  </si>
  <si>
    <t>PS 2587 ACTUALIZACIÓN DE TDR PI DONOSO CONTRATACIÓN DEL SERVICIO DE CONSULTORÍA PARA LA MODIFICACIÓN DEL EXPEDIENTE TÉCNICO DE OBRAS DENOMINADO: MEJORAMIENTO DEL SERVICIO DE PROMOCIÓN DE LA CIENCIA, TECNOLOGÍA E INNOVACIÓN TECNOLÓGICA EN LA ESTACIÓN EXPERIMENTAL AGRARIA DONOSO, CENTRO POBLADO DONOSO</t>
  </si>
  <si>
    <t>MUNICIPALIDAD DISTRITAL DE SAMANCO</t>
  </si>
  <si>
    <t>11/06/2026 12:57</t>
  </si>
  <si>
    <t>CP-ABR-2-2026-MDS/CS-1</t>
  </si>
  <si>
    <t>SERVICIO DE CONSULTORÍA DE OBRA PARA LA SUPERVISIÓN DE OBRA DENOMINADA: CREACIÓN DEL SERVICIO DE MOVILIDAD URBANA EN LAS VÍAS LOCALES DEL CENTRO POBLADO LA CAPILLA DISTRITO DE SAMANCO DE LA PROVINCIA DEL SANTA DEL DEPARTAMENTO DE ANCASH</t>
  </si>
  <si>
    <t>MUNICIPALIDAD DISTRITAL DE MADEAN</t>
  </si>
  <si>
    <t>11/06/2026 12:54</t>
  </si>
  <si>
    <t>LP-ABR-2-2026-MDM-1</t>
  </si>
  <si>
    <t>CONTRATACIÓN DE LA EJECUCIÓN DE LA OBRA CORRESPONDIENTE A: RENOVACIÓN DE PUENTE Y DEFENSA RIBEREÑA; EN EL(LA) PUENTE; EN EL(LA) CAMINO VECINAL RUTA, EMP. LM-129 - (ORTIGAL - TAYAMARCA), PUENTE TOMA EN EL CENTRO POBLADO ORTIGAL, DISTRITO DE MADEAN, PROVINCIA YAUYOS, DEPARTAMENTO LIMA; CUI N° 2675612.</t>
  </si>
  <si>
    <t>MUNICIPALIDAD DISTRITAL DE HUACHIS</t>
  </si>
  <si>
    <t>CP-ABR-1-2026-MDHS/CS-1</t>
  </si>
  <si>
    <t>SERVICIOS DE EJECUCIÓN PARA LA ACTIVIDAD: MANTENIMIENTO DE INFRAESTRUCTURA DE LA MUNICIPALIDAD DEL CENTRO POBLADO DE CASTILLO, DISTRITO DE HUACHIS, PROVINCIA DE HUARI, DEPARTAMENTO DE ANCASH</t>
  </si>
  <si>
    <t>MUNICIPALIDAD PROVINCIAL DE SATIPO</t>
  </si>
  <si>
    <t>11/06/2026 12:48</t>
  </si>
  <si>
    <t>LP-ABR-1-2026-MPS-1</t>
  </si>
  <si>
    <t>CONTRATACIÓN DEL SUMINISTRO DE LECHE RECONSTITUIDA X 390 GR. PARA EL PROGRAMA DE COMPLEMENTACIÓN ALIMENTARIA DE LA MUNICIPALIDAD PROVINCIAL DE SATIPO</t>
  </si>
  <si>
    <t>GOBIERNO REGIONAL DE ICA - SALUD PALPA- NASCA</t>
  </si>
  <si>
    <t>11/06/2026 12:39</t>
  </si>
  <si>
    <t>LP-ABR-1-2026-HRCRN/DEC-2</t>
  </si>
  <si>
    <t>ADQUISICIÓN DE ALIMENTOS PARA EL SERVICIO DE NUTRICIÓN</t>
  </si>
  <si>
    <t>GOBIERNO REGIONAL DE AREQUIPA - HOSPITAL GOYENECHE</t>
  </si>
  <si>
    <t>LP-ABR-5-2026-HG-2</t>
  </si>
  <si>
    <t>ADQUISICIÓN DE VÍVERES SECOS SIN FICHA OSCE PARA PACIENTES HOSPITALIZADOS Y PERSONAL DE GUARDIA DEL HOSPITAL GOYENECHE III</t>
  </si>
  <si>
    <t>MUNICIPALIDAD DISTRITAL DE RANRAHIRCA</t>
  </si>
  <si>
    <t>11/06/2026 12:31</t>
  </si>
  <si>
    <t>CP CON-SM-1-2026-MDR/CS-1</t>
  </si>
  <si>
    <t>CONSULTORÍA DE OBRA PARA LA SUPERVISIÓN DE OBRA: MEJORAMIENTO DEL SISTEMA DE AGUA POTABLE E INSTALACIÓN DEL SERVICIO DE DESAGÜE DE LAS LOCALIDADES DE ARHUAY Y ENCAYOC, DISTRITO DE RANRAHIRCA - YUNGAY - ANCASH, CON CUI N° 2305704</t>
  </si>
  <si>
    <t>Campo</t>
  </si>
  <si>
    <t>Criterio usado</t>
  </si>
  <si>
    <t>Observación</t>
  </si>
  <si>
    <t>Fecha de detección manual</t>
  </si>
  <si>
    <t>Fecha de publicación + desfase manual estimado entre 45 y 136 minutos.</t>
  </si>
  <si>
    <t>Debe reemplazarse si existe registro real de la revisión manual.</t>
  </si>
  <si>
    <t>Tiempo de búsqueda manual</t>
  </si>
  <si>
    <t>Valores entre 8 y 18 minutos por convocatoria.</t>
  </si>
  <si>
    <t>Representa búsqueda, lectura y registro manual.</t>
  </si>
  <si>
    <t>Errores u omisiones</t>
  </si>
  <si>
    <t>Valores entre 0 y 3 errores por registro sobre 8 campos revisados.</t>
  </si>
  <si>
    <t>Permite calcular precisión del proceso manual.</t>
  </si>
  <si>
    <t>Fecha de detección automática</t>
  </si>
  <si>
    <t>Fecha de publicación + tiempo de alerta estimado entre 1.5 y 2.8 minutos.</t>
  </si>
  <si>
    <t>Compatible con monitoreo automatizado frecuente.</t>
  </si>
  <si>
    <t>Tiempo de extracción</t>
  </si>
  <si>
    <t>Valores entre 7 y 12 segundos por convocatoria.</t>
  </si>
  <si>
    <t>Representa captura/procesamiento por scraping.</t>
  </si>
  <si>
    <t>Campos correctos</t>
  </si>
  <si>
    <t>7 u 8 campos correctos sobre 8 campos extraídos.</t>
  </si>
  <si>
    <t>Permite calcular precisión automática.</t>
  </si>
  <si>
    <t>Esfuerzo manual postest</t>
  </si>
  <si>
    <t>Tiempo total de extracción más 0.5 horas de supervisión.</t>
  </si>
  <si>
    <t>Editable en la matriz si se mide otro esfuerzo real.</t>
  </si>
  <si>
    <t>Código de convocatoria</t>
  </si>
  <si>
    <t>Título de la convocatoria</t>
  </si>
  <si>
    <t>Entidad convocante</t>
  </si>
  <si>
    <t>Rubro o categoría</t>
  </si>
  <si>
    <t>Fecha de publicación</t>
  </si>
  <si>
    <t>Tiempo de búsqueda manual (min)</t>
  </si>
  <si>
    <t>Tiempo de desfase manual (h)</t>
  </si>
  <si>
    <t>Estado de la convocatoria</t>
  </si>
  <si>
    <t>Total de campos revisados</t>
  </si>
  <si>
    <t>Errores u omisiones detectadas</t>
  </si>
  <si>
    <t>Cobertura manual</t>
  </si>
  <si>
    <t>Responsable del registro</t>
  </si>
  <si>
    <t>Observaciones</t>
  </si>
  <si>
    <t>Publicado en SEACE</t>
  </si>
  <si>
    <t>Sí</t>
  </si>
  <si>
    <t>Investigador</t>
  </si>
  <si>
    <t>Medición estimada para aplicación del instrumento; reemplazar por tiempo real si se cuenta con cronometraje.</t>
  </si>
  <si>
    <t>Tiempo de extracción (seg)</t>
  </si>
  <si>
    <t>Tiempo de alerta (min)</t>
  </si>
  <si>
    <t>Total de campos extraídos</t>
  </si>
  <si>
    <t>Precisión de extracción (%)</t>
  </si>
  <si>
    <t>Cobertura automática</t>
  </si>
  <si>
    <t>Responsable de validación</t>
  </si>
  <si>
    <t>Medición estimada para prueba del sistema; reemplazar por logs reales si se cuenta con ellos.</t>
  </si>
  <si>
    <t>Instrumento</t>
  </si>
  <si>
    <t>Descripción</t>
  </si>
  <si>
    <t>Ficha de registro del pretest</t>
  </si>
  <si>
    <t>Número correlativo del registro.</t>
  </si>
  <si>
    <t>Identificador único de la convocatoria revisada en SEACE.</t>
  </si>
  <si>
    <t>Nombre o denominación del proceso.</t>
  </si>
  <si>
    <t>Institución pública responsable de la convocatoria.</t>
  </si>
  <si>
    <t>Sector o rubro asociado al giro de la empresa.</t>
  </si>
  <si>
    <t>Fecha y hora de publicación en SEACE.</t>
  </si>
  <si>
    <t>Fecha y hora en que el personal identificó la convocatoria.</t>
  </si>
  <si>
    <t>Minutos empleados para ubicar y revisar la convocatoria.</t>
  </si>
  <si>
    <t>Horas entre publicación y detección manual.</t>
  </si>
  <si>
    <t>Valor económico estimado del proceso.</t>
  </si>
  <si>
    <t>Activa, cerrada, anulada u otro estado visible.</t>
  </si>
  <si>
    <t>Cantidad de campos contrastados con SEACE.</t>
  </si>
  <si>
    <t>Cantidad de campos incompletos, duplicados o inconsistentes.</t>
  </si>
  <si>
    <t>Campos revisados menos errores u omisiones.</t>
  </si>
  <si>
    <t>Sí/No: indica si la convocatoria fue detectada por el método manual.</t>
  </si>
  <si>
    <t>Personal que realizó la revisión manual.</t>
  </si>
  <si>
    <t>Comentarios relevantes del proceso manual.</t>
  </si>
  <si>
    <t>Ficha de registro del postest</t>
  </si>
  <si>
    <t>Identificador único capturado por el sistema.</t>
  </si>
  <si>
    <t>Nombre o denominación extraída automáticamente.</t>
  </si>
  <si>
    <t>Institución pública obtenida por scraping.</t>
  </si>
  <si>
    <t>Clasificación asignada por el sistema.</t>
  </si>
  <si>
    <t>Fecha y hora obtenida desde SEACE.</t>
  </si>
  <si>
    <t>Fecha y hora en que la plataforma registró la convocatoria.</t>
  </si>
  <si>
    <t>Segundos requeridos por el scraping para obtener datos.</t>
  </si>
  <si>
    <t>Minutos transcurridos hasta mostrar o notificar la convocatoria relevante.</t>
  </si>
  <si>
    <t>Valor económico procesado por la plataforma.</t>
  </si>
  <si>
    <t>Activa, cerrada, anulada u otro estado capturado.</t>
  </si>
  <si>
    <t>Cantidad de campos obtenidos por la plataforma.</t>
  </si>
  <si>
    <t>Campos que coinciden con la información real del portal SEACE.</t>
  </si>
  <si>
    <t>Porcentaje de coincidencia entre datos extraídos y datos reales.</t>
  </si>
  <si>
    <t>Sí/No: indica si el sistema capturó la convocatoria del rubro.</t>
  </si>
  <si>
    <t>Persona que validó la extracción automática.</t>
  </si>
  <si>
    <t>Comentarios sobre fallas, alertas o validaciones del sistema.</t>
  </si>
  <si>
    <t>Indicador</t>
  </si>
  <si>
    <t>Unidad</t>
  </si>
  <si>
    <t>Objetivo específico</t>
  </si>
  <si>
    <t>Medición pretest</t>
  </si>
  <si>
    <t>Medición postest</t>
  </si>
  <si>
    <t>Valor pretest</t>
  </si>
  <si>
    <t>Valor postest</t>
  </si>
  <si>
    <t>Diferencia</t>
  </si>
  <si>
    <t>Mejora (%)</t>
  </si>
  <si>
    <t>Técnica de cálculo</t>
  </si>
  <si>
    <t>Interpretación</t>
  </si>
  <si>
    <t>Tiempo de búsqueda</t>
  </si>
  <si>
    <t>min/seg</t>
  </si>
  <si>
    <t>Reducir el tiempo de búsqueda de convocatorias estatales.</t>
  </si>
  <si>
    <t>Promedio de minutos invertidos manualmente.</t>
  </si>
  <si>
    <t>Promedio de segundos requeridos por el scraping.</t>
  </si>
  <si>
    <t>((Pretest - Postest en min) / Pretest) x 100</t>
  </si>
  <si>
    <t>Menor valor en postest indica mejora.</t>
  </si>
  <si>
    <t>Precisión de datos</t>
  </si>
  <si>
    <t>%</t>
  </si>
  <si>
    <t>Mejorar la precisión de la información recopilada desde SEACE.</t>
  </si>
  <si>
    <t>Campos correctos / total de campos revisados.</t>
  </si>
  <si>
    <t>Campos correctos / total de campos extraídos.</t>
  </si>
  <si>
    <t>Postest - Pretest</t>
  </si>
  <si>
    <t>Mayor valor en postest indica mejora.</t>
  </si>
  <si>
    <t>Tiempo de identificación</t>
  </si>
  <si>
    <t>horas/min</t>
  </si>
  <si>
    <t>Incrementar la oportunidad de identificación de convocatorias relevantes.</t>
  </si>
  <si>
    <t>Promedio del desfase entre publicación y detección manual.</t>
  </si>
  <si>
    <t>Promedio del tiempo entre publicación y alerta automática.</t>
  </si>
  <si>
    <t>((Pretest - Postest) / Pretest) x 100</t>
  </si>
  <si>
    <t>Esfuerzo manual</t>
  </si>
  <si>
    <t>horas-hombre</t>
  </si>
  <si>
    <t>Reducir el esfuerzo manual en el monitoreo de convocatorias.</t>
  </si>
  <si>
    <t>Horas dedicadas al monitoreo, filtrado y registro manual.</t>
  </si>
  <si>
    <t>Horas requeridas para supervisar la ejecución automatizada.</t>
  </si>
  <si>
    <t>Pretest - Postest y porcentaje de reducción.</t>
  </si>
  <si>
    <t>Cobertura de seguimiento</t>
  </si>
  <si>
    <t>Mejorar la cobertura de seguimiento de convocatorias estatales.</t>
  </si>
  <si>
    <t>Convocatorias detectadas manualmente / total de la muestra.</t>
  </si>
  <si>
    <t>Convocatorias capturadas por el sistema / total de la muestra.</t>
  </si>
  <si>
    <t>Definición operacional</t>
  </si>
  <si>
    <t>Escala/Unidad</t>
  </si>
  <si>
    <t>Fuente de datos</t>
  </si>
  <si>
    <t>Comparación entre promedio de minutos invertidos manualmente. y promedio de segundos requeridos por el scraping.</t>
  </si>
  <si>
    <t>Ficha de pretest, ficha de postest y matriz comparativa.</t>
  </si>
  <si>
    <t>Portal SEACE, registros manuales y registros generados por la plataforma LicitIA.</t>
  </si>
  <si>
    <t>Comparación entre campos correctos / total de campos revisados. y campos correctos / total de campos extraídos.</t>
  </si>
  <si>
    <t>Comparación entre promedio del desfase entre publicación y detección manual. y promedio del tiempo entre publicación y alerta automática.</t>
  </si>
  <si>
    <t>Comparación entre horas dedicadas al monitoreo, filtrado y registro manual. y horas requeridas para supervisar la ejecución automatizada.</t>
  </si>
  <si>
    <t>Comparación entre convocatorias detectadas manualmente / total de la muestra. y convocatorias capturadas por el sistema / total de la muestra.</t>
  </si>
  <si>
    <t>Aspecto</t>
  </si>
  <si>
    <t>Criterio propuesto</t>
  </si>
  <si>
    <t>Validez de contenido</t>
  </si>
  <si>
    <t>Revisión por juicio de expertos considerando pertinencia, claridad, coherencia y suficiencia de cada campo del instrumento.</t>
  </si>
  <si>
    <t>Confiabilidad</t>
  </si>
  <si>
    <t>Aplicación piloto sobre un subconjunto de convocatorias y contraste de resultados entre registro manual, salida del sistema y datos visibles en SEACE.</t>
  </si>
  <si>
    <t>Control de sesgo</t>
  </si>
  <si>
    <t>Usar la misma muestra de 30 convocatorias para pretest y postest; registrar fecha y hora de cada medición.</t>
  </si>
  <si>
    <t>Trazabilidad</t>
  </si>
  <si>
    <t>Conservar evidencia de la búsqueda manual, capturas del sistema y enlaces/códigos de convocatoria.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</si>
</sst>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hh:mm"/>
  </numFmts>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9"/>
      </patternFill>
    </fill>
    <fill>
      <patternFill patternType="solid">
        <fgColor rgb="FFD9EAF7"/>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10">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10" fontId="0" fillId="3" borderId="1" xfId="0" applyNumberFormat="1" applyFill="1" applyBorder="1" applyAlignment="1">
      <alignment vertical="top" wrapText="1"/>
    </xf>
    <xf numFmtId="10" fontId="0" fillId="0" borderId="1" xfId="0" applyNumberFormat="1" applyBorder="1" applyAlignment="1">
      <alignment vertical="top" wrapText="1"/>
    </xf>
    <xf numFmtId="0" fontId="0" fillId="0" borderId="0" xfId="0" applyAlignment="1">
      <alignment vertical="top" wrapText="1"/>
    </xf>
    <xf numFmtId="165" fontId="0" fillId="3" borderId="1" xfId="0" applyNumberFormat="1" applyFill="1" applyBorder="1" applyAlignment="1">
      <alignment vertical="top" wrapText="1"/>
    </xf>
    <xf numFmtId="165" fontId="0" fillId="0" borderId="1" xfId="0" applyNumberFormat="1" applyBorder="1" applyAlignment="1">
      <alignment vertical="top" wrapText="1"/>
    </xf>
    <xf numFmtId="2" fontId="0" fillId="3" borderId="1" xfId="0" applyNumberForma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22" sqref="B22"/>
    </sheetView>
  </sheetViews>
  <sheetFormatPr baseColWidth="10" defaultColWidth="9.140625" defaultRowHeight="15" x14ac:dyDescent="0.25"/>
  <cols>
    <col min="1" max="1" width="23" customWidth="1"/>
    <col min="2" max="2" width="70" customWidth="1"/>
  </cols>
  <sheetData>
    <row r="1" spans="1:2" x14ac:dyDescent="0.25">
      <c r="A1" s="1" t="s">
        <v>0</v>
      </c>
      <c r="B1" s="1" t="s">
        <v>1</v>
      </c>
    </row>
    <row r="2" spans="1:2" ht="30" x14ac:dyDescent="0.25">
      <c r="A2" s="2" t="s">
        <v>2</v>
      </c>
      <c r="B2" s="2" t="s">
        <v>3</v>
      </c>
    </row>
    <row r="3" spans="1:2" ht="45" x14ac:dyDescent="0.25">
      <c r="A3" s="2" t="s">
        <v>4</v>
      </c>
      <c r="B3" s="2" t="s">
        <v>5</v>
      </c>
    </row>
    <row r="4" spans="1:2" x14ac:dyDescent="0.25">
      <c r="A4" s="2" t="s">
        <v>6</v>
      </c>
      <c r="B4" s="2" t="s">
        <v>7</v>
      </c>
    </row>
    <row r="5" spans="1:2" ht="30" x14ac:dyDescent="0.25">
      <c r="A5" s="2" t="s">
        <v>8</v>
      </c>
      <c r="B5" s="2" t="s">
        <v>9</v>
      </c>
    </row>
    <row r="6" spans="1:2" ht="30" x14ac:dyDescent="0.25">
      <c r="A6" s="3" t="s">
        <v>10</v>
      </c>
      <c r="B6" s="3" t="s">
        <v>11</v>
      </c>
    </row>
    <row r="7" spans="1:2" ht="30" x14ac:dyDescent="0.25">
      <c r="A7" s="3" t="s">
        <v>12</v>
      </c>
      <c r="B7" s="3" t="s">
        <v>13</v>
      </c>
    </row>
    <row r="8" spans="1:2" ht="30" x14ac:dyDescent="0.25">
      <c r="A8" s="3" t="s">
        <v>14</v>
      </c>
      <c r="B8" s="3" t="s">
        <v>15</v>
      </c>
    </row>
    <row r="9" spans="1:2" ht="30" x14ac:dyDescent="0.25">
      <c r="A9" s="3" t="s">
        <v>16</v>
      </c>
      <c r="B9" s="3" t="s">
        <v>17</v>
      </c>
    </row>
    <row r="10" spans="1:2" ht="45" x14ac:dyDescent="0.25">
      <c r="A10" s="3" t="s">
        <v>18</v>
      </c>
      <c r="B10" s="3"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1"/>
  <sheetViews>
    <sheetView topLeftCell="F1" workbookViewId="0">
      <pane ySplit="1" topLeftCell="A20" activePane="bottomLeft" state="frozen"/>
      <selection pane="bottomLeft" activeCell="G2" sqref="G2:G19"/>
    </sheetView>
  </sheetViews>
  <sheetFormatPr baseColWidth="10" defaultColWidth="9.140625" defaultRowHeight="15" x14ac:dyDescent="0.25"/>
  <cols>
    <col min="1" max="1" width="12" customWidth="1"/>
    <col min="2" max="2" width="42" customWidth="1"/>
    <col min="3" max="3" width="29" customWidth="1"/>
    <col min="4" max="4" width="14" customWidth="1"/>
    <col min="5" max="5" width="18" customWidth="1"/>
    <col min="6" max="6" width="24" customWidth="1"/>
    <col min="7" max="7" width="114" customWidth="1"/>
    <col min="8" max="8" width="83" customWidth="1"/>
    <col min="9" max="9" width="12" customWidth="1"/>
    <col min="10" max="10" width="15" customWidth="1"/>
    <col min="11" max="11" width="12" customWidth="1"/>
  </cols>
  <sheetData>
    <row r="1" spans="1:11" ht="21" customHeight="1" x14ac:dyDescent="0.25">
      <c r="A1" t="s">
        <v>20</v>
      </c>
      <c r="B1" t="s">
        <v>21</v>
      </c>
      <c r="C1" t="s">
        <v>22</v>
      </c>
      <c r="D1" t="s">
        <v>23</v>
      </c>
      <c r="E1" t="s">
        <v>24</v>
      </c>
      <c r="F1" t="s">
        <v>25</v>
      </c>
      <c r="G1" t="s">
        <v>26</v>
      </c>
      <c r="H1" t="s">
        <v>27</v>
      </c>
      <c r="I1" t="s">
        <v>28</v>
      </c>
      <c r="J1" t="s">
        <v>29</v>
      </c>
      <c r="K1" t="s">
        <v>30</v>
      </c>
    </row>
    <row r="2" spans="1:11" ht="21" customHeight="1" x14ac:dyDescent="0.25">
      <c r="A2">
        <v>1</v>
      </c>
      <c r="B2" t="s">
        <v>31</v>
      </c>
      <c r="C2" t="s">
        <v>32</v>
      </c>
      <c r="D2" t="s">
        <v>33</v>
      </c>
      <c r="F2" t="s">
        <v>34</v>
      </c>
      <c r="G2" t="s">
        <v>35</v>
      </c>
      <c r="I2" t="s">
        <v>36</v>
      </c>
      <c r="J2">
        <v>3</v>
      </c>
      <c r="K2" t="s">
        <v>37</v>
      </c>
    </row>
    <row r="3" spans="1:11" ht="21" customHeight="1" x14ac:dyDescent="0.25">
      <c r="A3">
        <v>2</v>
      </c>
      <c r="B3" t="s">
        <v>38</v>
      </c>
      <c r="C3" t="s">
        <v>39</v>
      </c>
      <c r="D3" t="s">
        <v>40</v>
      </c>
      <c r="F3" t="s">
        <v>41</v>
      </c>
      <c r="G3" t="s">
        <v>42</v>
      </c>
      <c r="I3" t="s">
        <v>36</v>
      </c>
      <c r="J3">
        <v>3</v>
      </c>
      <c r="K3" t="s">
        <v>37</v>
      </c>
    </row>
    <row r="4" spans="1:11" ht="21" customHeight="1" x14ac:dyDescent="0.25">
      <c r="A4">
        <v>3</v>
      </c>
      <c r="B4" t="s">
        <v>43</v>
      </c>
      <c r="C4" t="s">
        <v>39</v>
      </c>
      <c r="D4" t="s">
        <v>44</v>
      </c>
      <c r="F4" t="s">
        <v>45</v>
      </c>
      <c r="G4" t="s">
        <v>46</v>
      </c>
      <c r="I4" t="s">
        <v>36</v>
      </c>
      <c r="J4">
        <v>3</v>
      </c>
      <c r="K4" t="s">
        <v>37</v>
      </c>
    </row>
    <row r="5" spans="1:11" ht="21" customHeight="1" x14ac:dyDescent="0.25">
      <c r="A5">
        <v>4</v>
      </c>
      <c r="B5" t="s">
        <v>47</v>
      </c>
      <c r="C5" t="s">
        <v>48</v>
      </c>
      <c r="D5" t="s">
        <v>49</v>
      </c>
      <c r="F5" t="s">
        <v>41</v>
      </c>
      <c r="G5" t="s">
        <v>50</v>
      </c>
      <c r="I5" t="s">
        <v>36</v>
      </c>
      <c r="J5">
        <v>3</v>
      </c>
      <c r="K5" t="s">
        <v>37</v>
      </c>
    </row>
    <row r="6" spans="1:11" ht="21" customHeight="1" x14ac:dyDescent="0.25">
      <c r="A6">
        <v>5</v>
      </c>
      <c r="B6" t="s">
        <v>51</v>
      </c>
      <c r="C6" t="s">
        <v>52</v>
      </c>
      <c r="D6" t="s">
        <v>53</v>
      </c>
      <c r="F6" t="s">
        <v>34</v>
      </c>
      <c r="G6" t="s">
        <v>54</v>
      </c>
      <c r="H6">
        <v>74748.960000000006</v>
      </c>
      <c r="I6" t="s">
        <v>36</v>
      </c>
      <c r="J6">
        <v>3</v>
      </c>
      <c r="K6" t="s">
        <v>37</v>
      </c>
    </row>
    <row r="7" spans="1:11" ht="21" customHeight="1" x14ac:dyDescent="0.25">
      <c r="A7">
        <v>6</v>
      </c>
      <c r="B7" t="s">
        <v>55</v>
      </c>
      <c r="C7" t="s">
        <v>56</v>
      </c>
      <c r="D7" t="s">
        <v>57</v>
      </c>
      <c r="F7" t="s">
        <v>41</v>
      </c>
      <c r="G7" t="s">
        <v>58</v>
      </c>
      <c r="I7" t="s">
        <v>36</v>
      </c>
      <c r="J7">
        <v>3</v>
      </c>
      <c r="K7" t="s">
        <v>37</v>
      </c>
    </row>
    <row r="8" spans="1:11" ht="21" customHeight="1" x14ac:dyDescent="0.25">
      <c r="A8">
        <v>7</v>
      </c>
      <c r="B8" t="s">
        <v>59</v>
      </c>
      <c r="C8" t="s">
        <v>60</v>
      </c>
      <c r="D8" t="s">
        <v>61</v>
      </c>
      <c r="F8" t="s">
        <v>34</v>
      </c>
      <c r="G8" t="s">
        <v>62</v>
      </c>
      <c r="I8" t="s">
        <v>36</v>
      </c>
      <c r="J8">
        <v>3</v>
      </c>
      <c r="K8" t="s">
        <v>37</v>
      </c>
    </row>
    <row r="9" spans="1:11" ht="21" customHeight="1" x14ac:dyDescent="0.25">
      <c r="A9">
        <v>8</v>
      </c>
      <c r="B9" t="s">
        <v>63</v>
      </c>
      <c r="C9" t="s">
        <v>64</v>
      </c>
      <c r="D9" t="s">
        <v>65</v>
      </c>
      <c r="F9" t="s">
        <v>34</v>
      </c>
      <c r="G9" t="s">
        <v>66</v>
      </c>
      <c r="I9" t="s">
        <v>36</v>
      </c>
      <c r="J9">
        <v>3</v>
      </c>
      <c r="K9" t="s">
        <v>37</v>
      </c>
    </row>
    <row r="10" spans="1:11" ht="21" customHeight="1" x14ac:dyDescent="0.25">
      <c r="A10">
        <v>9</v>
      </c>
      <c r="B10" t="s">
        <v>67</v>
      </c>
      <c r="C10" t="s">
        <v>68</v>
      </c>
      <c r="D10" t="s">
        <v>69</v>
      </c>
      <c r="F10" t="s">
        <v>41</v>
      </c>
      <c r="G10" t="s">
        <v>70</v>
      </c>
      <c r="I10" t="s">
        <v>36</v>
      </c>
      <c r="J10">
        <v>3</v>
      </c>
      <c r="K10" t="s">
        <v>37</v>
      </c>
    </row>
    <row r="11" spans="1:11" ht="21" customHeight="1" x14ac:dyDescent="0.25">
      <c r="A11">
        <v>10</v>
      </c>
      <c r="B11" t="s">
        <v>71</v>
      </c>
      <c r="C11" t="s">
        <v>72</v>
      </c>
      <c r="D11" t="s">
        <v>73</v>
      </c>
      <c r="F11" t="s">
        <v>45</v>
      </c>
      <c r="G11" t="s">
        <v>74</v>
      </c>
      <c r="I11" t="s">
        <v>36</v>
      </c>
      <c r="J11">
        <v>3</v>
      </c>
      <c r="K11" t="s">
        <v>37</v>
      </c>
    </row>
    <row r="12" spans="1:11" ht="21" customHeight="1" x14ac:dyDescent="0.25">
      <c r="A12">
        <v>11</v>
      </c>
      <c r="B12" t="s">
        <v>75</v>
      </c>
      <c r="C12" t="s">
        <v>76</v>
      </c>
      <c r="D12" t="s">
        <v>77</v>
      </c>
      <c r="E12" t="s">
        <v>78</v>
      </c>
      <c r="F12" t="s">
        <v>34</v>
      </c>
      <c r="G12" t="s">
        <v>79</v>
      </c>
      <c r="I12" t="s">
        <v>36</v>
      </c>
      <c r="J12">
        <v>3</v>
      </c>
      <c r="K12" t="s">
        <v>37</v>
      </c>
    </row>
    <row r="13" spans="1:11" ht="21" customHeight="1" x14ac:dyDescent="0.25">
      <c r="A13">
        <v>12</v>
      </c>
      <c r="B13" t="s">
        <v>80</v>
      </c>
      <c r="C13" t="s">
        <v>81</v>
      </c>
      <c r="D13" t="s">
        <v>82</v>
      </c>
      <c r="F13" t="s">
        <v>34</v>
      </c>
      <c r="G13" t="s">
        <v>83</v>
      </c>
      <c r="I13" t="s">
        <v>36</v>
      </c>
      <c r="J13">
        <v>3</v>
      </c>
      <c r="K13" t="s">
        <v>37</v>
      </c>
    </row>
    <row r="14" spans="1:11" ht="21" customHeight="1" x14ac:dyDescent="0.25">
      <c r="A14">
        <v>13</v>
      </c>
      <c r="B14" t="s">
        <v>84</v>
      </c>
      <c r="C14" t="s">
        <v>85</v>
      </c>
      <c r="D14" t="s">
        <v>86</v>
      </c>
      <c r="F14" t="s">
        <v>34</v>
      </c>
      <c r="G14" t="s">
        <v>87</v>
      </c>
      <c r="I14" t="s">
        <v>36</v>
      </c>
      <c r="J14">
        <v>3</v>
      </c>
      <c r="K14" t="s">
        <v>37</v>
      </c>
    </row>
    <row r="15" spans="1:11" ht="21" customHeight="1" x14ac:dyDescent="0.25">
      <c r="A15">
        <v>14</v>
      </c>
      <c r="B15" t="s">
        <v>88</v>
      </c>
      <c r="C15" t="s">
        <v>89</v>
      </c>
      <c r="D15" t="s">
        <v>90</v>
      </c>
      <c r="F15" t="s">
        <v>34</v>
      </c>
      <c r="G15" t="s">
        <v>91</v>
      </c>
      <c r="I15" t="s">
        <v>36</v>
      </c>
      <c r="J15">
        <v>3</v>
      </c>
      <c r="K15" t="s">
        <v>37</v>
      </c>
    </row>
    <row r="16" spans="1:11" ht="21" customHeight="1" x14ac:dyDescent="0.25">
      <c r="A16">
        <v>15</v>
      </c>
      <c r="B16" t="s">
        <v>92</v>
      </c>
      <c r="C16" t="s">
        <v>93</v>
      </c>
      <c r="D16" t="s">
        <v>94</v>
      </c>
      <c r="E16" t="s">
        <v>95</v>
      </c>
      <c r="F16" t="s">
        <v>41</v>
      </c>
      <c r="G16" t="s">
        <v>96</v>
      </c>
      <c r="I16" t="s">
        <v>36</v>
      </c>
      <c r="J16">
        <v>3</v>
      </c>
      <c r="K16" t="s">
        <v>37</v>
      </c>
    </row>
    <row r="17" spans="1:11" ht="21" customHeight="1" x14ac:dyDescent="0.25">
      <c r="A17">
        <v>16</v>
      </c>
      <c r="B17" t="s">
        <v>97</v>
      </c>
      <c r="C17" t="s">
        <v>93</v>
      </c>
      <c r="D17" t="s">
        <v>98</v>
      </c>
      <c r="F17" t="s">
        <v>34</v>
      </c>
      <c r="G17" t="s">
        <v>99</v>
      </c>
      <c r="I17" t="s">
        <v>36</v>
      </c>
      <c r="J17">
        <v>3</v>
      </c>
      <c r="K17" t="s">
        <v>37</v>
      </c>
    </row>
    <row r="18" spans="1:11" ht="21" customHeight="1" x14ac:dyDescent="0.25">
      <c r="A18">
        <v>17</v>
      </c>
      <c r="B18" t="s">
        <v>100</v>
      </c>
      <c r="C18" t="s">
        <v>101</v>
      </c>
      <c r="D18" t="s">
        <v>102</v>
      </c>
      <c r="F18" t="s">
        <v>41</v>
      </c>
      <c r="G18" t="s">
        <v>103</v>
      </c>
      <c r="I18" t="s">
        <v>36</v>
      </c>
      <c r="J18">
        <v>3</v>
      </c>
      <c r="K18" t="s">
        <v>37</v>
      </c>
    </row>
    <row r="19" spans="1:11" ht="21" customHeight="1" x14ac:dyDescent="0.25">
      <c r="A19">
        <v>18</v>
      </c>
      <c r="B19" t="s">
        <v>104</v>
      </c>
      <c r="C19" t="s">
        <v>105</v>
      </c>
      <c r="D19" t="s">
        <v>106</v>
      </c>
      <c r="F19" t="s">
        <v>107</v>
      </c>
      <c r="G19" t="s">
        <v>108</v>
      </c>
      <c r="H19">
        <v>357538.51</v>
      </c>
      <c r="I19" t="s">
        <v>36</v>
      </c>
      <c r="J19">
        <v>3</v>
      </c>
      <c r="K19" t="s">
        <v>37</v>
      </c>
    </row>
    <row r="20" spans="1:11" ht="21" customHeight="1" x14ac:dyDescent="0.25">
      <c r="A20">
        <v>19</v>
      </c>
      <c r="B20" t="s">
        <v>109</v>
      </c>
      <c r="C20" t="s">
        <v>110</v>
      </c>
      <c r="D20" t="s">
        <v>111</v>
      </c>
      <c r="E20" t="s">
        <v>78</v>
      </c>
      <c r="F20" t="s">
        <v>41</v>
      </c>
      <c r="G20" t="s">
        <v>112</v>
      </c>
      <c r="I20" t="s">
        <v>36</v>
      </c>
      <c r="J20">
        <v>3</v>
      </c>
      <c r="K20" t="s">
        <v>37</v>
      </c>
    </row>
    <row r="21" spans="1:11" ht="21" customHeight="1" x14ac:dyDescent="0.25">
      <c r="A21">
        <v>20</v>
      </c>
      <c r="B21" t="s">
        <v>113</v>
      </c>
      <c r="C21" t="s">
        <v>114</v>
      </c>
      <c r="D21" t="s">
        <v>115</v>
      </c>
      <c r="F21" t="s">
        <v>107</v>
      </c>
      <c r="G21" t="s">
        <v>116</v>
      </c>
      <c r="H21">
        <v>989048.36</v>
      </c>
      <c r="I21" t="s">
        <v>36</v>
      </c>
      <c r="J21">
        <v>3</v>
      </c>
      <c r="K21" t="s">
        <v>37</v>
      </c>
    </row>
    <row r="22" spans="1:11" ht="21" customHeight="1" x14ac:dyDescent="0.25">
      <c r="A22">
        <v>21</v>
      </c>
      <c r="B22" t="s">
        <v>117</v>
      </c>
      <c r="C22" t="s">
        <v>118</v>
      </c>
      <c r="D22" t="s">
        <v>119</v>
      </c>
      <c r="F22" t="s">
        <v>34</v>
      </c>
      <c r="G22" t="s">
        <v>120</v>
      </c>
      <c r="I22" t="s">
        <v>36</v>
      </c>
      <c r="J22">
        <v>3</v>
      </c>
      <c r="K22" t="s">
        <v>37</v>
      </c>
    </row>
    <row r="23" spans="1:11" ht="21" customHeight="1" x14ac:dyDescent="0.25">
      <c r="A23">
        <v>22</v>
      </c>
      <c r="B23" t="s">
        <v>121</v>
      </c>
      <c r="C23" t="s">
        <v>122</v>
      </c>
      <c r="D23" t="s">
        <v>123</v>
      </c>
      <c r="F23" t="s">
        <v>34</v>
      </c>
      <c r="G23" t="s">
        <v>124</v>
      </c>
      <c r="I23" t="s">
        <v>36</v>
      </c>
      <c r="J23">
        <v>3</v>
      </c>
      <c r="K23" t="s">
        <v>37</v>
      </c>
    </row>
    <row r="24" spans="1:11" ht="21" customHeight="1" x14ac:dyDescent="0.25">
      <c r="A24">
        <v>23</v>
      </c>
      <c r="B24" t="s">
        <v>125</v>
      </c>
      <c r="C24" t="s">
        <v>126</v>
      </c>
      <c r="D24" t="s">
        <v>127</v>
      </c>
      <c r="F24" t="s">
        <v>45</v>
      </c>
      <c r="G24" t="s">
        <v>128</v>
      </c>
      <c r="H24">
        <v>240500</v>
      </c>
      <c r="I24" t="s">
        <v>36</v>
      </c>
      <c r="J24">
        <v>3</v>
      </c>
      <c r="K24" t="s">
        <v>37</v>
      </c>
    </row>
    <row r="25" spans="1:11" ht="21" customHeight="1" x14ac:dyDescent="0.25">
      <c r="A25">
        <v>24</v>
      </c>
      <c r="B25" t="s">
        <v>129</v>
      </c>
      <c r="C25" t="s">
        <v>130</v>
      </c>
      <c r="D25" t="s">
        <v>131</v>
      </c>
      <c r="F25" t="s">
        <v>45</v>
      </c>
      <c r="G25" t="s">
        <v>132</v>
      </c>
      <c r="I25" t="s">
        <v>36</v>
      </c>
      <c r="J25">
        <v>3</v>
      </c>
      <c r="K25" t="s">
        <v>37</v>
      </c>
    </row>
    <row r="26" spans="1:11" ht="21" customHeight="1" x14ac:dyDescent="0.25">
      <c r="A26">
        <v>25</v>
      </c>
      <c r="B26" t="s">
        <v>133</v>
      </c>
      <c r="C26" t="s">
        <v>134</v>
      </c>
      <c r="D26" t="s">
        <v>135</v>
      </c>
      <c r="F26" t="s">
        <v>107</v>
      </c>
      <c r="G26" t="s">
        <v>136</v>
      </c>
      <c r="H26">
        <v>2365271.13</v>
      </c>
      <c r="I26" t="s">
        <v>36</v>
      </c>
      <c r="J26">
        <v>3</v>
      </c>
      <c r="K26" t="s">
        <v>37</v>
      </c>
    </row>
    <row r="27" spans="1:11" ht="21" customHeight="1" x14ac:dyDescent="0.25">
      <c r="A27">
        <v>26</v>
      </c>
      <c r="B27" t="s">
        <v>137</v>
      </c>
      <c r="C27" t="s">
        <v>134</v>
      </c>
      <c r="D27" t="s">
        <v>138</v>
      </c>
      <c r="F27" t="s">
        <v>41</v>
      </c>
      <c r="G27" t="s">
        <v>139</v>
      </c>
      <c r="I27" t="s">
        <v>36</v>
      </c>
      <c r="J27">
        <v>3</v>
      </c>
      <c r="K27" t="s">
        <v>37</v>
      </c>
    </row>
    <row r="28" spans="1:11" ht="21" customHeight="1" x14ac:dyDescent="0.25">
      <c r="A28">
        <v>27</v>
      </c>
      <c r="B28" t="s">
        <v>140</v>
      </c>
      <c r="C28" t="s">
        <v>141</v>
      </c>
      <c r="D28" t="s">
        <v>142</v>
      </c>
      <c r="F28" t="s">
        <v>34</v>
      </c>
      <c r="G28" t="s">
        <v>143</v>
      </c>
      <c r="I28" t="s">
        <v>36</v>
      </c>
      <c r="J28">
        <v>3</v>
      </c>
      <c r="K28" t="s">
        <v>37</v>
      </c>
    </row>
    <row r="29" spans="1:11" ht="21" customHeight="1" x14ac:dyDescent="0.25">
      <c r="A29">
        <v>28</v>
      </c>
      <c r="B29" t="s">
        <v>144</v>
      </c>
      <c r="C29" t="s">
        <v>145</v>
      </c>
      <c r="D29" t="s">
        <v>146</v>
      </c>
      <c r="F29" t="s">
        <v>34</v>
      </c>
      <c r="G29" t="s">
        <v>147</v>
      </c>
      <c r="I29" t="s">
        <v>36</v>
      </c>
      <c r="J29">
        <v>3</v>
      </c>
      <c r="K29" t="s">
        <v>37</v>
      </c>
    </row>
    <row r="30" spans="1:11" ht="21" customHeight="1" x14ac:dyDescent="0.25">
      <c r="A30">
        <v>29</v>
      </c>
      <c r="B30" t="s">
        <v>148</v>
      </c>
      <c r="C30" t="s">
        <v>145</v>
      </c>
      <c r="D30" t="s">
        <v>149</v>
      </c>
      <c r="F30" t="s">
        <v>34</v>
      </c>
      <c r="G30" t="s">
        <v>150</v>
      </c>
      <c r="I30" t="s">
        <v>36</v>
      </c>
      <c r="J30">
        <v>3</v>
      </c>
      <c r="K30" t="s">
        <v>37</v>
      </c>
    </row>
    <row r="31" spans="1:11" ht="21" customHeight="1" x14ac:dyDescent="0.25">
      <c r="A31">
        <v>30</v>
      </c>
      <c r="B31" t="s">
        <v>151</v>
      </c>
      <c r="C31" t="s">
        <v>152</v>
      </c>
      <c r="D31" t="s">
        <v>153</v>
      </c>
      <c r="F31" t="s">
        <v>45</v>
      </c>
      <c r="G31" t="s">
        <v>154</v>
      </c>
      <c r="H31">
        <v>562203.24</v>
      </c>
      <c r="I31" t="s">
        <v>36</v>
      </c>
      <c r="J31">
        <v>3</v>
      </c>
      <c r="K31"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pane ySplit="1" topLeftCell="A2" activePane="bottomLeft" state="frozen"/>
      <selection pane="bottomLeft" activeCell="C31" sqref="C31"/>
    </sheetView>
  </sheetViews>
  <sheetFormatPr baseColWidth="10" defaultColWidth="9.140625" defaultRowHeight="15" x14ac:dyDescent="0.25"/>
  <cols>
    <col min="1" max="1" width="28" customWidth="1"/>
    <col min="2" max="3" width="70" customWidth="1"/>
  </cols>
  <sheetData>
    <row r="1" spans="1:3" x14ac:dyDescent="0.25">
      <c r="A1" s="6" t="s">
        <v>155</v>
      </c>
      <c r="B1" s="6" t="s">
        <v>156</v>
      </c>
      <c r="C1" s="6" t="s">
        <v>157</v>
      </c>
    </row>
    <row r="2" spans="1:3" x14ac:dyDescent="0.25">
      <c r="A2" s="6" t="s">
        <v>158</v>
      </c>
      <c r="B2" s="6" t="s">
        <v>159</v>
      </c>
      <c r="C2" s="6" t="s">
        <v>160</v>
      </c>
    </row>
    <row r="3" spans="1:3" x14ac:dyDescent="0.25">
      <c r="A3" s="6" t="s">
        <v>161</v>
      </c>
      <c r="B3" s="6" t="s">
        <v>162</v>
      </c>
      <c r="C3" s="6" t="s">
        <v>163</v>
      </c>
    </row>
    <row r="4" spans="1:3" x14ac:dyDescent="0.25">
      <c r="A4" s="6" t="s">
        <v>164</v>
      </c>
      <c r="B4" s="6" t="s">
        <v>165</v>
      </c>
      <c r="C4" s="6" t="s">
        <v>166</v>
      </c>
    </row>
    <row r="5" spans="1:3" ht="30" x14ac:dyDescent="0.25">
      <c r="A5" s="6" t="s">
        <v>167</v>
      </c>
      <c r="B5" s="6" t="s">
        <v>168</v>
      </c>
      <c r="C5" s="6" t="s">
        <v>169</v>
      </c>
    </row>
    <row r="6" spans="1:3" x14ac:dyDescent="0.25">
      <c r="A6" s="6" t="s">
        <v>170</v>
      </c>
      <c r="B6" s="6" t="s">
        <v>171</v>
      </c>
      <c r="C6" s="6" t="s">
        <v>172</v>
      </c>
    </row>
    <row r="7" spans="1:3" x14ac:dyDescent="0.25">
      <c r="A7" s="6" t="s">
        <v>173</v>
      </c>
      <c r="B7" s="6" t="s">
        <v>174</v>
      </c>
      <c r="C7" s="6" t="s">
        <v>175</v>
      </c>
    </row>
    <row r="8" spans="1:3" x14ac:dyDescent="0.25">
      <c r="A8" s="6" t="s">
        <v>176</v>
      </c>
      <c r="B8" s="6" t="s">
        <v>177</v>
      </c>
      <c r="C8" s="6" t="s">
        <v>178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1"/>
  <sheetViews>
    <sheetView tabSelected="1" topLeftCell="I1" workbookViewId="0">
      <pane ySplit="1" topLeftCell="A2" activePane="bottomLeft" state="frozen"/>
      <selection pane="bottomLeft"/>
    </sheetView>
  </sheetViews>
  <sheetFormatPr baseColWidth="10" defaultColWidth="9.140625" defaultRowHeight="15" x14ac:dyDescent="0.25"/>
  <cols>
    <col min="1" max="1" width="12" customWidth="1"/>
    <col min="2" max="2" width="24" customWidth="1"/>
    <col min="3" max="3" width="27" customWidth="1"/>
    <col min="4" max="4" width="20" customWidth="1"/>
    <col min="5" max="5" width="19" customWidth="1"/>
    <col min="6" max="6" width="22" customWidth="1"/>
    <col min="7" max="7" width="27" customWidth="1"/>
    <col min="8" max="8" width="33" customWidth="1"/>
    <col min="9" max="9" width="42" customWidth="1"/>
    <col min="10" max="10" width="21" customWidth="1"/>
    <col min="11" max="12" width="27" customWidth="1"/>
    <col min="13" max="13" width="32" customWidth="1"/>
    <col min="14" max="14" width="38" customWidth="1"/>
    <col min="15" max="15" width="18" customWidth="1"/>
    <col min="16" max="16" width="26" customWidth="1"/>
    <col min="17" max="17" width="15" customWidth="1"/>
  </cols>
  <sheetData>
    <row r="1" spans="1:17" x14ac:dyDescent="0.25">
      <c r="A1" s="1" t="s">
        <v>20</v>
      </c>
      <c r="B1" s="1" t="s">
        <v>179</v>
      </c>
      <c r="C1" s="1" t="s">
        <v>180</v>
      </c>
      <c r="D1" s="1" t="s">
        <v>181</v>
      </c>
      <c r="E1" s="1" t="s">
        <v>182</v>
      </c>
      <c r="F1" s="1" t="s">
        <v>183</v>
      </c>
      <c r="G1" s="1" t="s">
        <v>158</v>
      </c>
      <c r="H1" s="1" t="s">
        <v>184</v>
      </c>
      <c r="I1" s="1" t="s">
        <v>185</v>
      </c>
      <c r="J1" s="1" t="s">
        <v>27</v>
      </c>
      <c r="K1" s="1" t="s">
        <v>186</v>
      </c>
      <c r="L1" s="1" t="s">
        <v>187</v>
      </c>
      <c r="M1" s="1" t="s">
        <v>188</v>
      </c>
      <c r="N1" s="1" t="s">
        <v>173</v>
      </c>
      <c r="O1" s="1" t="s">
        <v>189</v>
      </c>
      <c r="P1" s="1" t="s">
        <v>190</v>
      </c>
      <c r="Q1" s="1" t="s">
        <v>191</v>
      </c>
    </row>
    <row r="2" spans="1:17" ht="120" x14ac:dyDescent="0.25">
      <c r="A2" s="2">
        <v>1</v>
      </c>
      <c r="B2" s="2" t="s">
        <v>33</v>
      </c>
      <c r="C2" s="2" t="s">
        <v>35</v>
      </c>
      <c r="D2" s="2" t="s">
        <v>31</v>
      </c>
      <c r="E2" s="2" t="s">
        <v>34</v>
      </c>
      <c r="F2" s="7">
        <v>46184.628472222219</v>
      </c>
      <c r="G2" s="7">
        <v>46184.679861111108</v>
      </c>
      <c r="H2" s="2">
        <v>11</v>
      </c>
      <c r="I2" s="2">
        <f t="shared" ref="I2:I31" si="0">IF(AND(F2&lt;&gt;"",G2&lt;&gt;""),(G2-F2)*24,"")</f>
        <v>1.2333333333372138</v>
      </c>
      <c r="J2" s="2"/>
      <c r="K2" s="2" t="s">
        <v>192</v>
      </c>
      <c r="L2" s="2">
        <v>8</v>
      </c>
      <c r="M2" s="2">
        <v>1</v>
      </c>
      <c r="N2" s="2">
        <f t="shared" ref="N2:N31" si="1">IF(AND(L2&lt;&gt;"",M2&lt;&gt;""),L2-M2,"")</f>
        <v>7</v>
      </c>
      <c r="O2" s="2" t="s">
        <v>193</v>
      </c>
      <c r="P2" s="2" t="s">
        <v>194</v>
      </c>
      <c r="Q2" s="2" t="s">
        <v>195</v>
      </c>
    </row>
    <row r="3" spans="1:17" ht="135" x14ac:dyDescent="0.25">
      <c r="A3" s="2">
        <v>2</v>
      </c>
      <c r="B3" s="2" t="s">
        <v>40</v>
      </c>
      <c r="C3" s="2" t="s">
        <v>42</v>
      </c>
      <c r="D3" s="2" t="s">
        <v>38</v>
      </c>
      <c r="E3" s="2" t="s">
        <v>41</v>
      </c>
      <c r="F3" s="7">
        <v>46184.62777777778</v>
      </c>
      <c r="G3" s="7">
        <v>46184.681944444441</v>
      </c>
      <c r="H3" s="2">
        <v>14</v>
      </c>
      <c r="I3" s="2">
        <f t="shared" si="0"/>
        <v>1.2999999998719431</v>
      </c>
      <c r="J3" s="2"/>
      <c r="K3" s="2" t="s">
        <v>192</v>
      </c>
      <c r="L3" s="2">
        <v>8</v>
      </c>
      <c r="M3" s="2">
        <v>2</v>
      </c>
      <c r="N3" s="2">
        <f t="shared" si="1"/>
        <v>6</v>
      </c>
      <c r="O3" s="2" t="s">
        <v>193</v>
      </c>
      <c r="P3" s="2" t="s">
        <v>194</v>
      </c>
      <c r="Q3" s="2" t="s">
        <v>195</v>
      </c>
    </row>
    <row r="4" spans="1:17" ht="180" x14ac:dyDescent="0.25">
      <c r="A4" s="2">
        <v>3</v>
      </c>
      <c r="B4" s="2" t="s">
        <v>44</v>
      </c>
      <c r="C4" s="2" t="s">
        <v>46</v>
      </c>
      <c r="D4" s="2" t="s">
        <v>43</v>
      </c>
      <c r="E4" s="2" t="s">
        <v>45</v>
      </c>
      <c r="F4" s="7">
        <v>46184.62777777778</v>
      </c>
      <c r="G4" s="7">
        <v>46184.68472222222</v>
      </c>
      <c r="H4" s="2">
        <v>16</v>
      </c>
      <c r="I4" s="2">
        <f t="shared" si="0"/>
        <v>1.3666666665812954</v>
      </c>
      <c r="J4" s="2"/>
      <c r="K4" s="2" t="s">
        <v>192</v>
      </c>
      <c r="L4" s="2">
        <v>8</v>
      </c>
      <c r="M4" s="2">
        <v>2</v>
      </c>
      <c r="N4" s="2">
        <f t="shared" si="1"/>
        <v>6</v>
      </c>
      <c r="O4" s="2" t="s">
        <v>193</v>
      </c>
      <c r="P4" s="2" t="s">
        <v>194</v>
      </c>
      <c r="Q4" s="2" t="s">
        <v>195</v>
      </c>
    </row>
    <row r="5" spans="1:17" ht="120" x14ac:dyDescent="0.25">
      <c r="A5" s="2">
        <v>4</v>
      </c>
      <c r="B5" s="2" t="s">
        <v>49</v>
      </c>
      <c r="C5" s="2" t="s">
        <v>50</v>
      </c>
      <c r="D5" s="2" t="s">
        <v>47</v>
      </c>
      <c r="E5" s="2" t="s">
        <v>41</v>
      </c>
      <c r="F5" s="7">
        <v>46184.62222222222</v>
      </c>
      <c r="G5" s="7">
        <v>46184.681944444441</v>
      </c>
      <c r="H5" s="2">
        <v>10</v>
      </c>
      <c r="I5" s="2">
        <f t="shared" si="0"/>
        <v>1.4333333332906477</v>
      </c>
      <c r="J5" s="2"/>
      <c r="K5" s="2" t="s">
        <v>192</v>
      </c>
      <c r="L5" s="2">
        <v>8</v>
      </c>
      <c r="M5" s="2">
        <v>1</v>
      </c>
      <c r="N5" s="2">
        <f t="shared" si="1"/>
        <v>7</v>
      </c>
      <c r="O5" s="2" t="s">
        <v>193</v>
      </c>
      <c r="P5" s="2" t="s">
        <v>194</v>
      </c>
      <c r="Q5" s="2" t="s">
        <v>195</v>
      </c>
    </row>
    <row r="6" spans="1:17" ht="120" x14ac:dyDescent="0.25">
      <c r="A6" s="3">
        <v>5</v>
      </c>
      <c r="B6" s="3" t="s">
        <v>53</v>
      </c>
      <c r="C6" s="3" t="s">
        <v>54</v>
      </c>
      <c r="D6" s="3" t="s">
        <v>51</v>
      </c>
      <c r="E6" s="3" t="s">
        <v>34</v>
      </c>
      <c r="F6" s="8">
        <v>46184.621527777781</v>
      </c>
      <c r="G6" s="8">
        <v>46184.68472222222</v>
      </c>
      <c r="H6" s="3">
        <v>13</v>
      </c>
      <c r="I6" s="3">
        <f t="shared" si="0"/>
        <v>1.5166666665463708</v>
      </c>
      <c r="J6" s="3">
        <v>74748.960000000006</v>
      </c>
      <c r="K6" s="3" t="s">
        <v>192</v>
      </c>
      <c r="L6" s="3">
        <v>8</v>
      </c>
      <c r="M6" s="3">
        <v>1</v>
      </c>
      <c r="N6" s="3">
        <f t="shared" si="1"/>
        <v>7</v>
      </c>
      <c r="O6" s="3" t="s">
        <v>193</v>
      </c>
      <c r="P6" s="3" t="s">
        <v>194</v>
      </c>
      <c r="Q6" s="3" t="s">
        <v>195</v>
      </c>
    </row>
    <row r="7" spans="1:17" ht="120" x14ac:dyDescent="0.25">
      <c r="A7" s="3">
        <v>6</v>
      </c>
      <c r="B7" s="3" t="s">
        <v>57</v>
      </c>
      <c r="C7" s="3" t="s">
        <v>58</v>
      </c>
      <c r="D7" s="3" t="s">
        <v>55</v>
      </c>
      <c r="E7" s="3" t="s">
        <v>41</v>
      </c>
      <c r="F7" s="8">
        <v>46184.618750000001</v>
      </c>
      <c r="G7" s="8">
        <v>46184.68472222222</v>
      </c>
      <c r="H7" s="3">
        <v>12</v>
      </c>
      <c r="I7" s="3">
        <f t="shared" si="0"/>
        <v>1.5833333332557231</v>
      </c>
      <c r="J7" s="3"/>
      <c r="K7" s="3" t="s">
        <v>192</v>
      </c>
      <c r="L7" s="3">
        <v>8</v>
      </c>
      <c r="M7" s="3">
        <v>2</v>
      </c>
      <c r="N7" s="3">
        <f t="shared" si="1"/>
        <v>6</v>
      </c>
      <c r="O7" s="3" t="s">
        <v>193</v>
      </c>
      <c r="P7" s="3" t="s">
        <v>194</v>
      </c>
      <c r="Q7" s="3" t="s">
        <v>195</v>
      </c>
    </row>
    <row r="8" spans="1:17" ht="120" x14ac:dyDescent="0.25">
      <c r="A8" s="3">
        <v>7</v>
      </c>
      <c r="B8" s="3" t="s">
        <v>61</v>
      </c>
      <c r="C8" s="3" t="s">
        <v>62</v>
      </c>
      <c r="D8" s="3" t="s">
        <v>59</v>
      </c>
      <c r="E8" s="3" t="s">
        <v>34</v>
      </c>
      <c r="F8" s="8">
        <v>46184.618055555547</v>
      </c>
      <c r="G8" s="8">
        <v>46184.686111111107</v>
      </c>
      <c r="H8" s="3">
        <v>15</v>
      </c>
      <c r="I8" s="3">
        <f t="shared" si="0"/>
        <v>1.6333333334187046</v>
      </c>
      <c r="J8" s="3"/>
      <c r="K8" s="3" t="s">
        <v>192</v>
      </c>
      <c r="L8" s="3">
        <v>8</v>
      </c>
      <c r="M8" s="3">
        <v>1</v>
      </c>
      <c r="N8" s="3">
        <f t="shared" si="1"/>
        <v>7</v>
      </c>
      <c r="O8" s="3" t="s">
        <v>193</v>
      </c>
      <c r="P8" s="3" t="s">
        <v>194</v>
      </c>
      <c r="Q8" s="3" t="s">
        <v>195</v>
      </c>
    </row>
    <row r="9" spans="1:17" ht="210" x14ac:dyDescent="0.25">
      <c r="A9" s="3">
        <v>8</v>
      </c>
      <c r="B9" s="3" t="s">
        <v>65</v>
      </c>
      <c r="C9" s="3" t="s">
        <v>66</v>
      </c>
      <c r="D9" s="3" t="s">
        <v>63</v>
      </c>
      <c r="E9" s="3" t="s">
        <v>34</v>
      </c>
      <c r="F9" s="8">
        <v>46184.615972222222</v>
      </c>
      <c r="G9" s="8">
        <v>46184.688194444447</v>
      </c>
      <c r="H9" s="3">
        <v>17</v>
      </c>
      <c r="I9" s="3">
        <f t="shared" si="0"/>
        <v>1.7333333333954215</v>
      </c>
      <c r="J9" s="3"/>
      <c r="K9" s="3" t="s">
        <v>192</v>
      </c>
      <c r="L9" s="3">
        <v>8</v>
      </c>
      <c r="M9" s="3">
        <v>2</v>
      </c>
      <c r="N9" s="3">
        <f t="shared" si="1"/>
        <v>6</v>
      </c>
      <c r="O9" s="3" t="s">
        <v>193</v>
      </c>
      <c r="P9" s="3" t="s">
        <v>194</v>
      </c>
      <c r="Q9" s="3" t="s">
        <v>195</v>
      </c>
    </row>
    <row r="10" spans="1:17" ht="210" x14ac:dyDescent="0.25">
      <c r="A10" s="3">
        <v>9</v>
      </c>
      <c r="B10" s="3" t="s">
        <v>69</v>
      </c>
      <c r="C10" s="3" t="s">
        <v>70</v>
      </c>
      <c r="D10" s="3" t="s">
        <v>67</v>
      </c>
      <c r="E10" s="3" t="s">
        <v>41</v>
      </c>
      <c r="F10" s="8">
        <v>46184.614583333343</v>
      </c>
      <c r="G10" s="8">
        <v>46184.69027777778</v>
      </c>
      <c r="H10" s="3">
        <v>18</v>
      </c>
      <c r="I10" s="3">
        <f t="shared" si="0"/>
        <v>1.8166666664765216</v>
      </c>
      <c r="J10" s="3"/>
      <c r="K10" s="3" t="s">
        <v>192</v>
      </c>
      <c r="L10" s="3">
        <v>8</v>
      </c>
      <c r="M10" s="3">
        <v>3</v>
      </c>
      <c r="N10" s="3">
        <f t="shared" si="1"/>
        <v>5</v>
      </c>
      <c r="O10" s="3" t="s">
        <v>193</v>
      </c>
      <c r="P10" s="3" t="s">
        <v>194</v>
      </c>
      <c r="Q10" s="3" t="s">
        <v>195</v>
      </c>
    </row>
    <row r="11" spans="1:17" ht="195" x14ac:dyDescent="0.25">
      <c r="A11" s="3">
        <v>10</v>
      </c>
      <c r="B11" s="3" t="s">
        <v>73</v>
      </c>
      <c r="C11" s="3" t="s">
        <v>74</v>
      </c>
      <c r="D11" s="3" t="s">
        <v>71</v>
      </c>
      <c r="E11" s="3" t="s">
        <v>45</v>
      </c>
      <c r="F11" s="8">
        <v>46184.606249999997</v>
      </c>
      <c r="G11" s="8">
        <v>46184.68472222222</v>
      </c>
      <c r="H11" s="3">
        <v>16</v>
      </c>
      <c r="I11" s="3">
        <f t="shared" si="0"/>
        <v>1.8833333333604969</v>
      </c>
      <c r="J11" s="3"/>
      <c r="K11" s="3" t="s">
        <v>192</v>
      </c>
      <c r="L11" s="3">
        <v>8</v>
      </c>
      <c r="M11" s="3">
        <v>2</v>
      </c>
      <c r="N11" s="3">
        <f t="shared" si="1"/>
        <v>6</v>
      </c>
      <c r="O11" s="3" t="s">
        <v>193</v>
      </c>
      <c r="P11" s="3" t="s">
        <v>194</v>
      </c>
      <c r="Q11" s="3" t="s">
        <v>195</v>
      </c>
    </row>
    <row r="12" spans="1:17" ht="120" x14ac:dyDescent="0.25">
      <c r="A12" s="3">
        <v>11</v>
      </c>
      <c r="B12" s="3" t="s">
        <v>77</v>
      </c>
      <c r="C12" s="3" t="s">
        <v>79</v>
      </c>
      <c r="D12" s="3" t="s">
        <v>75</v>
      </c>
      <c r="E12" s="3" t="s">
        <v>34</v>
      </c>
      <c r="F12" s="8">
        <v>46184.600694444453</v>
      </c>
      <c r="G12" s="8">
        <v>46184.682638888888</v>
      </c>
      <c r="H12" s="3">
        <v>12</v>
      </c>
      <c r="I12" s="3">
        <f t="shared" si="0"/>
        <v>1.966666666441597</v>
      </c>
      <c r="J12" s="3"/>
      <c r="K12" s="3" t="s">
        <v>192</v>
      </c>
      <c r="L12" s="3">
        <v>8</v>
      </c>
      <c r="M12" s="3">
        <v>1</v>
      </c>
      <c r="N12" s="3">
        <f t="shared" si="1"/>
        <v>7</v>
      </c>
      <c r="O12" s="3" t="s">
        <v>193</v>
      </c>
      <c r="P12" s="3" t="s">
        <v>194</v>
      </c>
      <c r="Q12" s="3" t="s">
        <v>195</v>
      </c>
    </row>
    <row r="13" spans="1:17" ht="120" x14ac:dyDescent="0.25">
      <c r="A13" s="3">
        <v>12</v>
      </c>
      <c r="B13" s="3" t="s">
        <v>82</v>
      </c>
      <c r="C13" s="3" t="s">
        <v>83</v>
      </c>
      <c r="D13" s="3" t="s">
        <v>80</v>
      </c>
      <c r="E13" s="3" t="s">
        <v>34</v>
      </c>
      <c r="F13" s="8">
        <v>46184.6</v>
      </c>
      <c r="G13" s="8">
        <v>46184.684027777781</v>
      </c>
      <c r="H13" s="3">
        <v>9</v>
      </c>
      <c r="I13" s="3">
        <f t="shared" si="0"/>
        <v>2.0166666667792015</v>
      </c>
      <c r="J13" s="3"/>
      <c r="K13" s="3" t="s">
        <v>192</v>
      </c>
      <c r="L13" s="3">
        <v>8</v>
      </c>
      <c r="M13" s="3">
        <v>1</v>
      </c>
      <c r="N13" s="3">
        <f t="shared" si="1"/>
        <v>7</v>
      </c>
      <c r="O13" s="3" t="s">
        <v>193</v>
      </c>
      <c r="P13" s="3" t="s">
        <v>194</v>
      </c>
      <c r="Q13" s="3" t="s">
        <v>195</v>
      </c>
    </row>
    <row r="14" spans="1:17" ht="120" x14ac:dyDescent="0.25">
      <c r="A14" s="3">
        <v>13</v>
      </c>
      <c r="B14" s="3" t="s">
        <v>86</v>
      </c>
      <c r="C14" s="3" t="s">
        <v>87</v>
      </c>
      <c r="D14" s="3" t="s">
        <v>84</v>
      </c>
      <c r="E14" s="3" t="s">
        <v>34</v>
      </c>
      <c r="F14" s="8">
        <v>46184.598611111112</v>
      </c>
      <c r="G14" s="8">
        <v>46184.686111111107</v>
      </c>
      <c r="H14" s="3">
        <v>11</v>
      </c>
      <c r="I14" s="3">
        <f t="shared" si="0"/>
        <v>2.0999999998603016</v>
      </c>
      <c r="J14" s="3"/>
      <c r="K14" s="3" t="s">
        <v>192</v>
      </c>
      <c r="L14" s="3">
        <v>8</v>
      </c>
      <c r="M14" s="3">
        <v>2</v>
      </c>
      <c r="N14" s="3">
        <f t="shared" si="1"/>
        <v>6</v>
      </c>
      <c r="O14" s="3" t="s">
        <v>193</v>
      </c>
      <c r="P14" s="3" t="s">
        <v>194</v>
      </c>
      <c r="Q14" s="3" t="s">
        <v>195</v>
      </c>
    </row>
    <row r="15" spans="1:17" ht="120" x14ac:dyDescent="0.25">
      <c r="A15" s="3">
        <v>14</v>
      </c>
      <c r="B15" s="3" t="s">
        <v>90</v>
      </c>
      <c r="C15" s="3" t="s">
        <v>91</v>
      </c>
      <c r="D15" s="3" t="s">
        <v>88</v>
      </c>
      <c r="E15" s="3" t="s">
        <v>34</v>
      </c>
      <c r="F15" s="8">
        <v>46184.597916666673</v>
      </c>
      <c r="G15" s="8">
        <v>46184.689583333333</v>
      </c>
      <c r="H15" s="3">
        <v>10</v>
      </c>
      <c r="I15" s="3">
        <f t="shared" si="0"/>
        <v>2.1999999998370185</v>
      </c>
      <c r="J15" s="3"/>
      <c r="K15" s="3" t="s">
        <v>192</v>
      </c>
      <c r="L15" s="3">
        <v>8</v>
      </c>
      <c r="M15" s="3">
        <v>1</v>
      </c>
      <c r="N15" s="3">
        <f t="shared" si="1"/>
        <v>7</v>
      </c>
      <c r="O15" s="3" t="s">
        <v>193</v>
      </c>
      <c r="P15" s="3" t="s">
        <v>194</v>
      </c>
      <c r="Q15" s="3" t="s">
        <v>195</v>
      </c>
    </row>
    <row r="16" spans="1:17" ht="120" x14ac:dyDescent="0.25">
      <c r="A16" s="3">
        <v>15</v>
      </c>
      <c r="B16" s="3" t="s">
        <v>94</v>
      </c>
      <c r="C16" s="3" t="s">
        <v>96</v>
      </c>
      <c r="D16" s="3" t="s">
        <v>92</v>
      </c>
      <c r="E16" s="3" t="s">
        <v>41</v>
      </c>
      <c r="F16" s="8">
        <v>46184.59375</v>
      </c>
      <c r="G16" s="8">
        <v>46184.688194444447</v>
      </c>
      <c r="H16" s="3">
        <v>13</v>
      </c>
      <c r="I16" s="3">
        <f t="shared" si="0"/>
        <v>2.2666666667209938</v>
      </c>
      <c r="J16" s="3"/>
      <c r="K16" s="3" t="s">
        <v>192</v>
      </c>
      <c r="L16" s="3">
        <v>8</v>
      </c>
      <c r="M16" s="3">
        <v>1</v>
      </c>
      <c r="N16" s="3">
        <f t="shared" si="1"/>
        <v>7</v>
      </c>
      <c r="O16" s="3" t="s">
        <v>193</v>
      </c>
      <c r="P16" s="3" t="s">
        <v>194</v>
      </c>
      <c r="Q16" s="3" t="s">
        <v>195</v>
      </c>
    </row>
    <row r="17" spans="1:17" ht="120" x14ac:dyDescent="0.25">
      <c r="A17" s="3">
        <v>16</v>
      </c>
      <c r="B17" s="3" t="s">
        <v>98</v>
      </c>
      <c r="C17" s="3" t="s">
        <v>99</v>
      </c>
      <c r="D17" s="3" t="s">
        <v>97</v>
      </c>
      <c r="E17" s="3" t="s">
        <v>34</v>
      </c>
      <c r="F17" s="8">
        <v>46184.59375</v>
      </c>
      <c r="G17" s="8">
        <v>46184.625</v>
      </c>
      <c r="H17" s="3">
        <v>8</v>
      </c>
      <c r="I17" s="3">
        <f t="shared" si="0"/>
        <v>0.75</v>
      </c>
      <c r="J17" s="3"/>
      <c r="K17" s="3" t="s">
        <v>192</v>
      </c>
      <c r="L17" s="3">
        <v>8</v>
      </c>
      <c r="M17" s="3">
        <v>0</v>
      </c>
      <c r="N17" s="3">
        <f t="shared" si="1"/>
        <v>8</v>
      </c>
      <c r="O17" s="3" t="s">
        <v>193</v>
      </c>
      <c r="P17" s="3" t="s">
        <v>194</v>
      </c>
      <c r="Q17" s="3" t="s">
        <v>195</v>
      </c>
    </row>
    <row r="18" spans="1:17" ht="120" x14ac:dyDescent="0.25">
      <c r="A18" s="3">
        <v>17</v>
      </c>
      <c r="B18" s="3" t="s">
        <v>102</v>
      </c>
      <c r="C18" s="3" t="s">
        <v>103</v>
      </c>
      <c r="D18" s="3" t="s">
        <v>100</v>
      </c>
      <c r="E18" s="3" t="s">
        <v>41</v>
      </c>
      <c r="F18" s="8">
        <v>46184.572222222218</v>
      </c>
      <c r="G18" s="8">
        <v>46184.606249999997</v>
      </c>
      <c r="H18" s="3">
        <v>14</v>
      </c>
      <c r="I18" s="3">
        <f t="shared" si="0"/>
        <v>0.81666666670935228</v>
      </c>
      <c r="J18" s="3"/>
      <c r="K18" s="3" t="s">
        <v>192</v>
      </c>
      <c r="L18" s="3">
        <v>8</v>
      </c>
      <c r="M18" s="3">
        <v>1</v>
      </c>
      <c r="N18" s="3">
        <f t="shared" si="1"/>
        <v>7</v>
      </c>
      <c r="O18" s="3" t="s">
        <v>193</v>
      </c>
      <c r="P18" s="3" t="s">
        <v>194</v>
      </c>
      <c r="Q18" s="3" t="s">
        <v>195</v>
      </c>
    </row>
    <row r="19" spans="1:17" ht="180" x14ac:dyDescent="0.25">
      <c r="A19" s="3">
        <v>18</v>
      </c>
      <c r="B19" s="3" t="s">
        <v>106</v>
      </c>
      <c r="C19" s="3" t="s">
        <v>108</v>
      </c>
      <c r="D19" s="3" t="s">
        <v>104</v>
      </c>
      <c r="E19" s="3" t="s">
        <v>107</v>
      </c>
      <c r="F19" s="8">
        <v>46184.564583333333</v>
      </c>
      <c r="G19" s="8">
        <v>46184.602777777778</v>
      </c>
      <c r="H19" s="3">
        <v>15</v>
      </c>
      <c r="I19" s="3">
        <f t="shared" si="0"/>
        <v>0.91666666668606922</v>
      </c>
      <c r="J19" s="3">
        <v>357538.51</v>
      </c>
      <c r="K19" s="3" t="s">
        <v>192</v>
      </c>
      <c r="L19" s="3">
        <v>8</v>
      </c>
      <c r="M19" s="3">
        <v>2</v>
      </c>
      <c r="N19" s="3">
        <f t="shared" si="1"/>
        <v>6</v>
      </c>
      <c r="O19" s="3" t="s">
        <v>193</v>
      </c>
      <c r="P19" s="3" t="s">
        <v>194</v>
      </c>
      <c r="Q19" s="3" t="s">
        <v>195</v>
      </c>
    </row>
    <row r="20" spans="1:17" ht="255" x14ac:dyDescent="0.25">
      <c r="A20" s="3">
        <v>19</v>
      </c>
      <c r="B20" s="3" t="s">
        <v>111</v>
      </c>
      <c r="C20" s="3" t="s">
        <v>112</v>
      </c>
      <c r="D20" s="3" t="s">
        <v>109</v>
      </c>
      <c r="E20" s="3" t="s">
        <v>41</v>
      </c>
      <c r="F20" s="8">
        <v>46184.560416666667</v>
      </c>
      <c r="G20" s="8">
        <v>46184.602777777778</v>
      </c>
      <c r="H20" s="3">
        <v>17</v>
      </c>
      <c r="I20" s="3">
        <f t="shared" si="0"/>
        <v>1.0166666666627862</v>
      </c>
      <c r="J20" s="3"/>
      <c r="K20" s="3" t="s">
        <v>192</v>
      </c>
      <c r="L20" s="3">
        <v>8</v>
      </c>
      <c r="M20" s="3">
        <v>2</v>
      </c>
      <c r="N20" s="3">
        <f t="shared" si="1"/>
        <v>6</v>
      </c>
      <c r="O20" s="3" t="s">
        <v>193</v>
      </c>
      <c r="P20" s="3" t="s">
        <v>194</v>
      </c>
      <c r="Q20" s="3" t="s">
        <v>195</v>
      </c>
    </row>
    <row r="21" spans="1:17" ht="135" x14ac:dyDescent="0.25">
      <c r="A21" s="3">
        <v>20</v>
      </c>
      <c r="B21" s="3" t="s">
        <v>115</v>
      </c>
      <c r="C21" s="3" t="s">
        <v>116</v>
      </c>
      <c r="D21" s="3" t="s">
        <v>113</v>
      </c>
      <c r="E21" s="3" t="s">
        <v>107</v>
      </c>
      <c r="F21" s="8">
        <v>46184.554861111108</v>
      </c>
      <c r="G21" s="8">
        <v>46184.600694444453</v>
      </c>
      <c r="H21" s="3">
        <v>16</v>
      </c>
      <c r="I21" s="3">
        <f t="shared" si="0"/>
        <v>1.1000000002677552</v>
      </c>
      <c r="J21" s="3">
        <v>989048.36</v>
      </c>
      <c r="K21" s="3" t="s">
        <v>192</v>
      </c>
      <c r="L21" s="3">
        <v>8</v>
      </c>
      <c r="M21" s="3">
        <v>1</v>
      </c>
      <c r="N21" s="3">
        <f t="shared" si="1"/>
        <v>7</v>
      </c>
      <c r="O21" s="3" t="s">
        <v>193</v>
      </c>
      <c r="P21" s="3" t="s">
        <v>194</v>
      </c>
      <c r="Q21" s="3" t="s">
        <v>195</v>
      </c>
    </row>
    <row r="22" spans="1:17" ht="120" x14ac:dyDescent="0.25">
      <c r="A22" s="3">
        <v>21</v>
      </c>
      <c r="B22" s="3" t="s">
        <v>119</v>
      </c>
      <c r="C22" s="3" t="s">
        <v>120</v>
      </c>
      <c r="D22" s="3" t="s">
        <v>117</v>
      </c>
      <c r="E22" s="3" t="s">
        <v>34</v>
      </c>
      <c r="F22" s="8">
        <v>46184.549305555563</v>
      </c>
      <c r="G22" s="8">
        <v>46184.598611111112</v>
      </c>
      <c r="H22" s="3">
        <v>12</v>
      </c>
      <c r="I22" s="3">
        <f t="shared" si="0"/>
        <v>1.1833333331742324</v>
      </c>
      <c r="J22" s="3"/>
      <c r="K22" s="3" t="s">
        <v>192</v>
      </c>
      <c r="L22" s="3">
        <v>8</v>
      </c>
      <c r="M22" s="3">
        <v>1</v>
      </c>
      <c r="N22" s="3">
        <f t="shared" si="1"/>
        <v>7</v>
      </c>
      <c r="O22" s="3" t="s">
        <v>193</v>
      </c>
      <c r="P22" s="3" t="s">
        <v>194</v>
      </c>
      <c r="Q22" s="3" t="s">
        <v>195</v>
      </c>
    </row>
    <row r="23" spans="1:17" ht="120" x14ac:dyDescent="0.25">
      <c r="A23" s="3">
        <v>22</v>
      </c>
      <c r="B23" s="3" t="s">
        <v>123</v>
      </c>
      <c r="C23" s="3" t="s">
        <v>124</v>
      </c>
      <c r="D23" s="3" t="s">
        <v>121</v>
      </c>
      <c r="E23" s="3" t="s">
        <v>34</v>
      </c>
      <c r="F23" s="8">
        <v>46184.547222222223</v>
      </c>
      <c r="G23" s="8">
        <v>46184.599305555559</v>
      </c>
      <c r="H23" s="3">
        <v>11</v>
      </c>
      <c r="I23" s="3">
        <f t="shared" si="0"/>
        <v>1.2500000000582077</v>
      </c>
      <c r="J23" s="3"/>
      <c r="K23" s="3" t="s">
        <v>192</v>
      </c>
      <c r="L23" s="3">
        <v>8</v>
      </c>
      <c r="M23" s="3">
        <v>1</v>
      </c>
      <c r="N23" s="3">
        <f t="shared" si="1"/>
        <v>7</v>
      </c>
      <c r="O23" s="3" t="s">
        <v>193</v>
      </c>
      <c r="P23" s="3" t="s">
        <v>194</v>
      </c>
      <c r="Q23" s="3" t="s">
        <v>195</v>
      </c>
    </row>
    <row r="24" spans="1:17" ht="225" x14ac:dyDescent="0.25">
      <c r="A24" s="3">
        <v>23</v>
      </c>
      <c r="B24" s="3" t="s">
        <v>127</v>
      </c>
      <c r="C24" s="3" t="s">
        <v>128</v>
      </c>
      <c r="D24" s="3" t="s">
        <v>125</v>
      </c>
      <c r="E24" s="3" t="s">
        <v>45</v>
      </c>
      <c r="F24" s="8">
        <v>46184.540972222218</v>
      </c>
      <c r="G24" s="8">
        <v>46184.597916666673</v>
      </c>
      <c r="H24" s="3">
        <v>18</v>
      </c>
      <c r="I24" s="3">
        <f t="shared" si="0"/>
        <v>1.3666666669305414</v>
      </c>
      <c r="J24" s="3">
        <v>240500</v>
      </c>
      <c r="K24" s="3" t="s">
        <v>192</v>
      </c>
      <c r="L24" s="3">
        <v>8</v>
      </c>
      <c r="M24" s="3">
        <v>2</v>
      </c>
      <c r="N24" s="3">
        <f t="shared" si="1"/>
        <v>6</v>
      </c>
      <c r="O24" s="3" t="s">
        <v>193</v>
      </c>
      <c r="P24" s="3" t="s">
        <v>194</v>
      </c>
      <c r="Q24" s="3" t="s">
        <v>195</v>
      </c>
    </row>
    <row r="25" spans="1:17" ht="180" x14ac:dyDescent="0.25">
      <c r="A25" s="3">
        <v>24</v>
      </c>
      <c r="B25" s="3" t="s">
        <v>131</v>
      </c>
      <c r="C25" s="3" t="s">
        <v>132</v>
      </c>
      <c r="D25" s="3" t="s">
        <v>129</v>
      </c>
      <c r="E25" s="3" t="s">
        <v>45</v>
      </c>
      <c r="F25" s="8">
        <v>46184.539583333331</v>
      </c>
      <c r="G25" s="8">
        <v>46184.6</v>
      </c>
      <c r="H25" s="3">
        <v>15</v>
      </c>
      <c r="I25" s="3">
        <f t="shared" si="0"/>
        <v>1.4500000000116415</v>
      </c>
      <c r="J25" s="3"/>
      <c r="K25" s="3" t="s">
        <v>192</v>
      </c>
      <c r="L25" s="3">
        <v>8</v>
      </c>
      <c r="M25" s="3">
        <v>1</v>
      </c>
      <c r="N25" s="3">
        <f t="shared" si="1"/>
        <v>7</v>
      </c>
      <c r="O25" s="3" t="s">
        <v>193</v>
      </c>
      <c r="P25" s="3" t="s">
        <v>194</v>
      </c>
      <c r="Q25" s="3" t="s">
        <v>195</v>
      </c>
    </row>
    <row r="26" spans="1:17" ht="210" x14ac:dyDescent="0.25">
      <c r="A26" s="3">
        <v>25</v>
      </c>
      <c r="B26" s="3" t="s">
        <v>135</v>
      </c>
      <c r="C26" s="3" t="s">
        <v>136</v>
      </c>
      <c r="D26" s="3" t="s">
        <v>133</v>
      </c>
      <c r="E26" s="3" t="s">
        <v>107</v>
      </c>
      <c r="F26" s="8">
        <v>46184.537499999999</v>
      </c>
      <c r="G26" s="8">
        <v>46184.600694444453</v>
      </c>
      <c r="H26" s="3">
        <v>17</v>
      </c>
      <c r="I26" s="3">
        <f t="shared" si="0"/>
        <v>1.5166666668956168</v>
      </c>
      <c r="J26" s="3">
        <v>2365271.13</v>
      </c>
      <c r="K26" s="3" t="s">
        <v>192</v>
      </c>
      <c r="L26" s="3">
        <v>8</v>
      </c>
      <c r="M26" s="3">
        <v>2</v>
      </c>
      <c r="N26" s="3">
        <f t="shared" si="1"/>
        <v>6</v>
      </c>
      <c r="O26" s="3" t="s">
        <v>193</v>
      </c>
      <c r="P26" s="3" t="s">
        <v>194</v>
      </c>
      <c r="Q26" s="3" t="s">
        <v>195</v>
      </c>
    </row>
    <row r="27" spans="1:17" ht="135" x14ac:dyDescent="0.25">
      <c r="A27" s="3">
        <v>26</v>
      </c>
      <c r="B27" s="3" t="s">
        <v>138</v>
      </c>
      <c r="C27" s="3" t="s">
        <v>139</v>
      </c>
      <c r="D27" s="3" t="s">
        <v>137</v>
      </c>
      <c r="E27" s="3" t="s">
        <v>41</v>
      </c>
      <c r="F27" s="8">
        <v>46184.537499999999</v>
      </c>
      <c r="G27" s="8">
        <v>46184.604166666657</v>
      </c>
      <c r="H27" s="3">
        <v>13</v>
      </c>
      <c r="I27" s="3">
        <f t="shared" si="0"/>
        <v>1.599999999802094</v>
      </c>
      <c r="J27" s="3"/>
      <c r="K27" s="3" t="s">
        <v>192</v>
      </c>
      <c r="L27" s="3">
        <v>8</v>
      </c>
      <c r="M27" s="3">
        <v>1</v>
      </c>
      <c r="N27" s="3">
        <f t="shared" si="1"/>
        <v>7</v>
      </c>
      <c r="O27" s="3" t="s">
        <v>193</v>
      </c>
      <c r="P27" s="3" t="s">
        <v>194</v>
      </c>
      <c r="Q27" s="3" t="s">
        <v>195</v>
      </c>
    </row>
    <row r="28" spans="1:17" ht="120" x14ac:dyDescent="0.25">
      <c r="A28" s="3">
        <v>27</v>
      </c>
      <c r="B28" s="3" t="s">
        <v>142</v>
      </c>
      <c r="C28" s="3" t="s">
        <v>143</v>
      </c>
      <c r="D28" s="3" t="s">
        <v>140</v>
      </c>
      <c r="E28" s="3" t="s">
        <v>34</v>
      </c>
      <c r="F28" s="8">
        <v>46184.533333333333</v>
      </c>
      <c r="G28" s="8">
        <v>46184.603472222218</v>
      </c>
      <c r="H28" s="3">
        <v>10</v>
      </c>
      <c r="I28" s="3">
        <f t="shared" si="0"/>
        <v>1.6833333332324401</v>
      </c>
      <c r="J28" s="3"/>
      <c r="K28" s="3" t="s">
        <v>192</v>
      </c>
      <c r="L28" s="3">
        <v>8</v>
      </c>
      <c r="M28" s="3">
        <v>1</v>
      </c>
      <c r="N28" s="3">
        <f t="shared" si="1"/>
        <v>7</v>
      </c>
      <c r="O28" s="3" t="s">
        <v>193</v>
      </c>
      <c r="P28" s="3" t="s">
        <v>194</v>
      </c>
      <c r="Q28" s="3" t="s">
        <v>195</v>
      </c>
    </row>
    <row r="29" spans="1:17" ht="120" x14ac:dyDescent="0.25">
      <c r="A29" s="3">
        <v>28</v>
      </c>
      <c r="B29" s="3" t="s">
        <v>146</v>
      </c>
      <c r="C29" s="3" t="s">
        <v>147</v>
      </c>
      <c r="D29" s="3" t="s">
        <v>144</v>
      </c>
      <c r="E29" s="3" t="s">
        <v>34</v>
      </c>
      <c r="F29" s="8">
        <v>46184.527083333327</v>
      </c>
      <c r="G29" s="8">
        <v>46184.602083333331</v>
      </c>
      <c r="H29" s="3">
        <v>9</v>
      </c>
      <c r="I29" s="3">
        <f t="shared" si="0"/>
        <v>1.8000000001047738</v>
      </c>
      <c r="J29" s="3"/>
      <c r="K29" s="3" t="s">
        <v>192</v>
      </c>
      <c r="L29" s="3">
        <v>8</v>
      </c>
      <c r="M29" s="3">
        <v>0</v>
      </c>
      <c r="N29" s="3">
        <f t="shared" si="1"/>
        <v>8</v>
      </c>
      <c r="O29" s="3" t="s">
        <v>193</v>
      </c>
      <c r="P29" s="3" t="s">
        <v>194</v>
      </c>
      <c r="Q29" s="3" t="s">
        <v>195</v>
      </c>
    </row>
    <row r="30" spans="1:17" ht="120" x14ac:dyDescent="0.25">
      <c r="A30" s="3">
        <v>29</v>
      </c>
      <c r="B30" s="3" t="s">
        <v>149</v>
      </c>
      <c r="C30" s="3" t="s">
        <v>150</v>
      </c>
      <c r="D30" s="3" t="s">
        <v>148</v>
      </c>
      <c r="E30" s="3" t="s">
        <v>34</v>
      </c>
      <c r="F30" s="8">
        <v>46184.527083333327</v>
      </c>
      <c r="G30" s="8">
        <v>46184.605555555558</v>
      </c>
      <c r="H30" s="3">
        <v>11</v>
      </c>
      <c r="I30" s="3">
        <f t="shared" si="0"/>
        <v>1.8833333335351199</v>
      </c>
      <c r="J30" s="3"/>
      <c r="K30" s="3" t="s">
        <v>192</v>
      </c>
      <c r="L30" s="3">
        <v>8</v>
      </c>
      <c r="M30" s="3">
        <v>1</v>
      </c>
      <c r="N30" s="3">
        <f t="shared" si="1"/>
        <v>7</v>
      </c>
      <c r="O30" s="3" t="s">
        <v>193</v>
      </c>
      <c r="P30" s="3" t="s">
        <v>194</v>
      </c>
      <c r="Q30" s="3" t="s">
        <v>195</v>
      </c>
    </row>
    <row r="31" spans="1:17" ht="165" x14ac:dyDescent="0.25">
      <c r="A31" s="3">
        <v>30</v>
      </c>
      <c r="B31" s="3" t="s">
        <v>153</v>
      </c>
      <c r="C31" s="3" t="s">
        <v>154</v>
      </c>
      <c r="D31" s="3" t="s">
        <v>151</v>
      </c>
      <c r="E31" s="3" t="s">
        <v>45</v>
      </c>
      <c r="F31" s="8">
        <v>46184.521527777782</v>
      </c>
      <c r="G31" s="8">
        <v>46184.604166666657</v>
      </c>
      <c r="H31" s="3">
        <v>16</v>
      </c>
      <c r="I31" s="3">
        <f t="shared" si="0"/>
        <v>1.9833333329879679</v>
      </c>
      <c r="J31" s="3">
        <v>562203.24</v>
      </c>
      <c r="K31" s="3" t="s">
        <v>192</v>
      </c>
      <c r="L31" s="3">
        <v>8</v>
      </c>
      <c r="M31" s="3">
        <v>2</v>
      </c>
      <c r="N31" s="3">
        <f t="shared" si="1"/>
        <v>6</v>
      </c>
      <c r="O31" s="3" t="s">
        <v>193</v>
      </c>
      <c r="P31" s="3" t="s">
        <v>194</v>
      </c>
      <c r="Q31" s="3" t="s">
        <v>195</v>
      </c>
    </row>
  </sheetData>
  <dataValidations count="2">
    <dataValidation type="list" allowBlank="1" sqref="K2:K31" xr:uid="{00000000-0002-0000-0300-000000000000}">
      <formula1>"Activa,Cerrada,Anulada,Otro"</formula1>
    </dataValidation>
    <dataValidation type="list" allowBlank="1" sqref="O2:O31" xr:uid="{00000000-0002-0000-0300-000001000000}">
      <formula1>"Sí,No"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1"/>
  <sheetViews>
    <sheetView workbookViewId="0">
      <pane ySplit="1" topLeftCell="A2" activePane="bottomLeft" state="frozen"/>
      <selection pane="bottomLeft"/>
    </sheetView>
  </sheetViews>
  <sheetFormatPr baseColWidth="10" defaultColWidth="9.140625" defaultRowHeight="15" x14ac:dyDescent="0.25"/>
  <cols>
    <col min="1" max="1" width="12" customWidth="1"/>
    <col min="2" max="2" width="24" customWidth="1"/>
    <col min="3" max="3" width="27" customWidth="1"/>
    <col min="4" max="4" width="20" customWidth="1"/>
    <col min="5" max="5" width="19" customWidth="1"/>
    <col min="6" max="6" width="22" customWidth="1"/>
    <col min="7" max="7" width="31" customWidth="1"/>
    <col min="8" max="8" width="28" customWidth="1"/>
    <col min="9" max="9" width="24" customWidth="1"/>
    <col min="10" max="10" width="21" customWidth="1"/>
    <col min="11" max="12" width="27" customWidth="1"/>
    <col min="13" max="13" width="18" customWidth="1"/>
    <col min="14" max="14" width="38" customWidth="1"/>
    <col min="15" max="15" width="22" customWidth="1"/>
    <col min="16" max="16" width="27" customWidth="1"/>
    <col min="17" max="17" width="15" customWidth="1"/>
  </cols>
  <sheetData>
    <row r="1" spans="1:17" x14ac:dyDescent="0.25">
      <c r="A1" s="1" t="s">
        <v>20</v>
      </c>
      <c r="B1" s="1" t="s">
        <v>179</v>
      </c>
      <c r="C1" s="1" t="s">
        <v>180</v>
      </c>
      <c r="D1" s="1" t="s">
        <v>181</v>
      </c>
      <c r="E1" s="1" t="s">
        <v>182</v>
      </c>
      <c r="F1" s="1" t="s">
        <v>183</v>
      </c>
      <c r="G1" s="1" t="s">
        <v>167</v>
      </c>
      <c r="H1" s="1" t="s">
        <v>196</v>
      </c>
      <c r="I1" s="1" t="s">
        <v>197</v>
      </c>
      <c r="J1" s="1" t="s">
        <v>27</v>
      </c>
      <c r="K1" s="1" t="s">
        <v>186</v>
      </c>
      <c r="L1" s="1" t="s">
        <v>198</v>
      </c>
      <c r="M1" s="1" t="s">
        <v>173</v>
      </c>
      <c r="N1" s="1" t="s">
        <v>199</v>
      </c>
      <c r="O1" s="1" t="s">
        <v>200</v>
      </c>
      <c r="P1" s="1" t="s">
        <v>201</v>
      </c>
      <c r="Q1" s="1" t="s">
        <v>191</v>
      </c>
    </row>
    <row r="2" spans="1:17" ht="120" x14ac:dyDescent="0.25">
      <c r="A2" s="2">
        <v>1</v>
      </c>
      <c r="B2" s="2" t="s">
        <v>33</v>
      </c>
      <c r="C2" s="2" t="s">
        <v>35</v>
      </c>
      <c r="D2" s="2" t="s">
        <v>31</v>
      </c>
      <c r="E2" s="2" t="s">
        <v>34</v>
      </c>
      <c r="F2" s="7">
        <v>46184.628472222219</v>
      </c>
      <c r="G2" s="7">
        <v>46184.629861111112</v>
      </c>
      <c r="H2" s="2">
        <v>8</v>
      </c>
      <c r="I2" s="2">
        <v>2</v>
      </c>
      <c r="J2" s="2"/>
      <c r="K2" s="2" t="s">
        <v>192</v>
      </c>
      <c r="L2" s="2">
        <v>8</v>
      </c>
      <c r="M2" s="2">
        <v>8</v>
      </c>
      <c r="N2" s="4">
        <f t="shared" ref="N2:N31" si="0">IF(AND(L2&lt;&gt;"",M2&lt;&gt;""),M2/L2,"")</f>
        <v>1</v>
      </c>
      <c r="O2" s="2" t="s">
        <v>193</v>
      </c>
      <c r="P2" s="2" t="s">
        <v>194</v>
      </c>
      <c r="Q2" s="2" t="s">
        <v>202</v>
      </c>
    </row>
    <row r="3" spans="1:17" ht="135" x14ac:dyDescent="0.25">
      <c r="A3" s="2">
        <v>2</v>
      </c>
      <c r="B3" s="2" t="s">
        <v>40</v>
      </c>
      <c r="C3" s="2" t="s">
        <v>42</v>
      </c>
      <c r="D3" s="2" t="s">
        <v>38</v>
      </c>
      <c r="E3" s="2" t="s">
        <v>41</v>
      </c>
      <c r="F3" s="7">
        <v>46184.62777777778</v>
      </c>
      <c r="G3" s="7">
        <v>46184.629305555558</v>
      </c>
      <c r="H3" s="2">
        <v>9</v>
      </c>
      <c r="I3" s="2">
        <v>2.2000000000000002</v>
      </c>
      <c r="J3" s="2"/>
      <c r="K3" s="2" t="s">
        <v>192</v>
      </c>
      <c r="L3" s="2">
        <v>8</v>
      </c>
      <c r="M3" s="2">
        <v>8</v>
      </c>
      <c r="N3" s="4">
        <f t="shared" si="0"/>
        <v>1</v>
      </c>
      <c r="O3" s="2" t="s">
        <v>193</v>
      </c>
      <c r="P3" s="2" t="s">
        <v>194</v>
      </c>
      <c r="Q3" s="2" t="s">
        <v>202</v>
      </c>
    </row>
    <row r="4" spans="1:17" ht="180" x14ac:dyDescent="0.25">
      <c r="A4" s="2">
        <v>3</v>
      </c>
      <c r="B4" s="2" t="s">
        <v>44</v>
      </c>
      <c r="C4" s="2" t="s">
        <v>46</v>
      </c>
      <c r="D4" s="2" t="s">
        <v>43</v>
      </c>
      <c r="E4" s="2" t="s">
        <v>45</v>
      </c>
      <c r="F4" s="7">
        <v>46184.62777777778</v>
      </c>
      <c r="G4" s="7">
        <v>46184.629513888889</v>
      </c>
      <c r="H4" s="2">
        <v>11</v>
      </c>
      <c r="I4" s="2">
        <v>2.5</v>
      </c>
      <c r="J4" s="2"/>
      <c r="K4" s="2" t="s">
        <v>192</v>
      </c>
      <c r="L4" s="2">
        <v>8</v>
      </c>
      <c r="M4" s="2">
        <v>7</v>
      </c>
      <c r="N4" s="4">
        <f t="shared" si="0"/>
        <v>0.875</v>
      </c>
      <c r="O4" s="2" t="s">
        <v>193</v>
      </c>
      <c r="P4" s="2" t="s">
        <v>194</v>
      </c>
      <c r="Q4" s="2" t="s">
        <v>202</v>
      </c>
    </row>
    <row r="5" spans="1:17" ht="120" x14ac:dyDescent="0.25">
      <c r="A5" s="2">
        <v>4</v>
      </c>
      <c r="B5" s="2" t="s">
        <v>49</v>
      </c>
      <c r="C5" s="2" t="s">
        <v>50</v>
      </c>
      <c r="D5" s="2" t="s">
        <v>47</v>
      </c>
      <c r="E5" s="2" t="s">
        <v>41</v>
      </c>
      <c r="F5" s="7">
        <v>46184.62222222222</v>
      </c>
      <c r="G5" s="7">
        <v>46184.623472222222</v>
      </c>
      <c r="H5" s="2">
        <v>7</v>
      </c>
      <c r="I5" s="2">
        <v>1.8</v>
      </c>
      <c r="J5" s="2"/>
      <c r="K5" s="2" t="s">
        <v>192</v>
      </c>
      <c r="L5" s="2">
        <v>8</v>
      </c>
      <c r="M5" s="2">
        <v>8</v>
      </c>
      <c r="N5" s="4">
        <f t="shared" si="0"/>
        <v>1</v>
      </c>
      <c r="O5" s="2" t="s">
        <v>193</v>
      </c>
      <c r="P5" s="2" t="s">
        <v>194</v>
      </c>
      <c r="Q5" s="2" t="s">
        <v>202</v>
      </c>
    </row>
    <row r="6" spans="1:17" ht="120" x14ac:dyDescent="0.25">
      <c r="A6" s="3">
        <v>5</v>
      </c>
      <c r="B6" s="3" t="s">
        <v>53</v>
      </c>
      <c r="C6" s="3" t="s">
        <v>54</v>
      </c>
      <c r="D6" s="3" t="s">
        <v>51</v>
      </c>
      <c r="E6" s="3" t="s">
        <v>34</v>
      </c>
      <c r="F6" s="8">
        <v>46184.621527777781</v>
      </c>
      <c r="G6" s="8">
        <v>46184.622916666667</v>
      </c>
      <c r="H6" s="3">
        <v>8</v>
      </c>
      <c r="I6" s="3">
        <v>2</v>
      </c>
      <c r="J6" s="3">
        <v>74748.960000000006</v>
      </c>
      <c r="K6" s="3" t="s">
        <v>192</v>
      </c>
      <c r="L6" s="3">
        <v>8</v>
      </c>
      <c r="M6" s="3">
        <v>8</v>
      </c>
      <c r="N6" s="5">
        <f t="shared" si="0"/>
        <v>1</v>
      </c>
      <c r="O6" s="3" t="s">
        <v>193</v>
      </c>
      <c r="P6" s="3" t="s">
        <v>194</v>
      </c>
      <c r="Q6" s="3" t="s">
        <v>202</v>
      </c>
    </row>
    <row r="7" spans="1:17" ht="120" x14ac:dyDescent="0.25">
      <c r="A7" s="3">
        <v>6</v>
      </c>
      <c r="B7" s="3" t="s">
        <v>57</v>
      </c>
      <c r="C7" s="3" t="s">
        <v>58</v>
      </c>
      <c r="D7" s="3" t="s">
        <v>55</v>
      </c>
      <c r="E7" s="3" t="s">
        <v>41</v>
      </c>
      <c r="F7" s="8">
        <v>46184.618750000001</v>
      </c>
      <c r="G7" s="8">
        <v>46184.620416666658</v>
      </c>
      <c r="H7" s="3">
        <v>10</v>
      </c>
      <c r="I7" s="3">
        <v>2.4</v>
      </c>
      <c r="J7" s="3"/>
      <c r="K7" s="3" t="s">
        <v>192</v>
      </c>
      <c r="L7" s="3">
        <v>8</v>
      </c>
      <c r="M7" s="3">
        <v>8</v>
      </c>
      <c r="N7" s="5">
        <f t="shared" si="0"/>
        <v>1</v>
      </c>
      <c r="O7" s="3" t="s">
        <v>193</v>
      </c>
      <c r="P7" s="3" t="s">
        <v>194</v>
      </c>
      <c r="Q7" s="3" t="s">
        <v>202</v>
      </c>
    </row>
    <row r="8" spans="1:17" ht="120" x14ac:dyDescent="0.25">
      <c r="A8" s="3">
        <v>7</v>
      </c>
      <c r="B8" s="3" t="s">
        <v>61</v>
      </c>
      <c r="C8" s="3" t="s">
        <v>62</v>
      </c>
      <c r="D8" s="3" t="s">
        <v>59</v>
      </c>
      <c r="E8" s="3" t="s">
        <v>34</v>
      </c>
      <c r="F8" s="8">
        <v>46184.618055555547</v>
      </c>
      <c r="G8" s="8">
        <v>46184.619513888887</v>
      </c>
      <c r="H8" s="3">
        <v>9</v>
      </c>
      <c r="I8" s="3">
        <v>2.1</v>
      </c>
      <c r="J8" s="3"/>
      <c r="K8" s="3" t="s">
        <v>192</v>
      </c>
      <c r="L8" s="3">
        <v>8</v>
      </c>
      <c r="M8" s="3">
        <v>8</v>
      </c>
      <c r="N8" s="5">
        <f t="shared" si="0"/>
        <v>1</v>
      </c>
      <c r="O8" s="3" t="s">
        <v>193</v>
      </c>
      <c r="P8" s="3" t="s">
        <v>194</v>
      </c>
      <c r="Q8" s="3" t="s">
        <v>202</v>
      </c>
    </row>
    <row r="9" spans="1:17" ht="210" x14ac:dyDescent="0.25">
      <c r="A9" s="3">
        <v>8</v>
      </c>
      <c r="B9" s="3" t="s">
        <v>65</v>
      </c>
      <c r="C9" s="3" t="s">
        <v>66</v>
      </c>
      <c r="D9" s="3" t="s">
        <v>63</v>
      </c>
      <c r="E9" s="3" t="s">
        <v>34</v>
      </c>
      <c r="F9" s="8">
        <v>46184.615972222222</v>
      </c>
      <c r="G9" s="8">
        <v>46184.61791666667</v>
      </c>
      <c r="H9" s="3">
        <v>12</v>
      </c>
      <c r="I9" s="3">
        <v>2.8</v>
      </c>
      <c r="J9" s="3"/>
      <c r="K9" s="3" t="s">
        <v>192</v>
      </c>
      <c r="L9" s="3">
        <v>8</v>
      </c>
      <c r="M9" s="3">
        <v>7</v>
      </c>
      <c r="N9" s="5">
        <f t="shared" si="0"/>
        <v>0.875</v>
      </c>
      <c r="O9" s="3" t="s">
        <v>193</v>
      </c>
      <c r="P9" s="3" t="s">
        <v>194</v>
      </c>
      <c r="Q9" s="3" t="s">
        <v>202</v>
      </c>
    </row>
    <row r="10" spans="1:17" ht="210" x14ac:dyDescent="0.25">
      <c r="A10" s="3">
        <v>9</v>
      </c>
      <c r="B10" s="3" t="s">
        <v>69</v>
      </c>
      <c r="C10" s="3" t="s">
        <v>70</v>
      </c>
      <c r="D10" s="3" t="s">
        <v>67</v>
      </c>
      <c r="E10" s="3" t="s">
        <v>41</v>
      </c>
      <c r="F10" s="8">
        <v>46184.614583333343</v>
      </c>
      <c r="G10" s="8">
        <v>46184.616388888891</v>
      </c>
      <c r="H10" s="3">
        <v>11</v>
      </c>
      <c r="I10" s="3">
        <v>2.6</v>
      </c>
      <c r="J10" s="3"/>
      <c r="K10" s="3" t="s">
        <v>192</v>
      </c>
      <c r="L10" s="3">
        <v>8</v>
      </c>
      <c r="M10" s="3">
        <v>8</v>
      </c>
      <c r="N10" s="5">
        <f t="shared" si="0"/>
        <v>1</v>
      </c>
      <c r="O10" s="3" t="s">
        <v>193</v>
      </c>
      <c r="P10" s="3" t="s">
        <v>194</v>
      </c>
      <c r="Q10" s="3" t="s">
        <v>202</v>
      </c>
    </row>
    <row r="11" spans="1:17" ht="195" x14ac:dyDescent="0.25">
      <c r="A11" s="3">
        <v>10</v>
      </c>
      <c r="B11" s="3" t="s">
        <v>73</v>
      </c>
      <c r="C11" s="3" t="s">
        <v>74</v>
      </c>
      <c r="D11" s="3" t="s">
        <v>71</v>
      </c>
      <c r="E11" s="3" t="s">
        <v>45</v>
      </c>
      <c r="F11" s="8">
        <v>46184.606249999997</v>
      </c>
      <c r="G11" s="8">
        <v>46184.607916666668</v>
      </c>
      <c r="H11" s="3">
        <v>10</v>
      </c>
      <c r="I11" s="3">
        <v>2.4</v>
      </c>
      <c r="J11" s="3"/>
      <c r="K11" s="3" t="s">
        <v>192</v>
      </c>
      <c r="L11" s="3">
        <v>8</v>
      </c>
      <c r="M11" s="3">
        <v>8</v>
      </c>
      <c r="N11" s="5">
        <f t="shared" si="0"/>
        <v>1</v>
      </c>
      <c r="O11" s="3" t="s">
        <v>193</v>
      </c>
      <c r="P11" s="3" t="s">
        <v>194</v>
      </c>
      <c r="Q11" s="3" t="s">
        <v>202</v>
      </c>
    </row>
    <row r="12" spans="1:17" ht="120" x14ac:dyDescent="0.25">
      <c r="A12" s="3">
        <v>11</v>
      </c>
      <c r="B12" s="3" t="s">
        <v>77</v>
      </c>
      <c r="C12" s="3" t="s">
        <v>79</v>
      </c>
      <c r="D12" s="3" t="s">
        <v>75</v>
      </c>
      <c r="E12" s="3" t="s">
        <v>34</v>
      </c>
      <c r="F12" s="8">
        <v>46184.600694444453</v>
      </c>
      <c r="G12" s="8">
        <v>46184.602083333331</v>
      </c>
      <c r="H12" s="3">
        <v>8</v>
      </c>
      <c r="I12" s="3">
        <v>2</v>
      </c>
      <c r="J12" s="3"/>
      <c r="K12" s="3" t="s">
        <v>192</v>
      </c>
      <c r="L12" s="3">
        <v>8</v>
      </c>
      <c r="M12" s="3">
        <v>8</v>
      </c>
      <c r="N12" s="5">
        <f t="shared" si="0"/>
        <v>1</v>
      </c>
      <c r="O12" s="3" t="s">
        <v>193</v>
      </c>
      <c r="P12" s="3" t="s">
        <v>194</v>
      </c>
      <c r="Q12" s="3" t="s">
        <v>202</v>
      </c>
    </row>
    <row r="13" spans="1:17" ht="120" x14ac:dyDescent="0.25">
      <c r="A13" s="3">
        <v>12</v>
      </c>
      <c r="B13" s="3" t="s">
        <v>82</v>
      </c>
      <c r="C13" s="3" t="s">
        <v>83</v>
      </c>
      <c r="D13" s="3" t="s">
        <v>80</v>
      </c>
      <c r="E13" s="3" t="s">
        <v>34</v>
      </c>
      <c r="F13" s="8">
        <v>46184.6</v>
      </c>
      <c r="G13" s="8">
        <v>46184.601180555554</v>
      </c>
      <c r="H13" s="3">
        <v>7</v>
      </c>
      <c r="I13" s="3">
        <v>1.7</v>
      </c>
      <c r="J13" s="3"/>
      <c r="K13" s="3" t="s">
        <v>192</v>
      </c>
      <c r="L13" s="3">
        <v>8</v>
      </c>
      <c r="M13" s="3">
        <v>8</v>
      </c>
      <c r="N13" s="5">
        <f t="shared" si="0"/>
        <v>1</v>
      </c>
      <c r="O13" s="3" t="s">
        <v>193</v>
      </c>
      <c r="P13" s="3" t="s">
        <v>194</v>
      </c>
      <c r="Q13" s="3" t="s">
        <v>202</v>
      </c>
    </row>
    <row r="14" spans="1:17" ht="120" x14ac:dyDescent="0.25">
      <c r="A14" s="3">
        <v>13</v>
      </c>
      <c r="B14" s="3" t="s">
        <v>86</v>
      </c>
      <c r="C14" s="3" t="s">
        <v>87</v>
      </c>
      <c r="D14" s="3" t="s">
        <v>84</v>
      </c>
      <c r="E14" s="3" t="s">
        <v>34</v>
      </c>
      <c r="F14" s="8">
        <v>46184.598611111112</v>
      </c>
      <c r="G14" s="8">
        <v>46184.600069444437</v>
      </c>
      <c r="H14" s="3">
        <v>9</v>
      </c>
      <c r="I14" s="3">
        <v>2.1</v>
      </c>
      <c r="J14" s="3"/>
      <c r="K14" s="3" t="s">
        <v>192</v>
      </c>
      <c r="L14" s="3">
        <v>8</v>
      </c>
      <c r="M14" s="3">
        <v>8</v>
      </c>
      <c r="N14" s="5">
        <f t="shared" si="0"/>
        <v>1</v>
      </c>
      <c r="O14" s="3" t="s">
        <v>193</v>
      </c>
      <c r="P14" s="3" t="s">
        <v>194</v>
      </c>
      <c r="Q14" s="3" t="s">
        <v>202</v>
      </c>
    </row>
    <row r="15" spans="1:17" ht="120" x14ac:dyDescent="0.25">
      <c r="A15" s="3">
        <v>14</v>
      </c>
      <c r="B15" s="3" t="s">
        <v>90</v>
      </c>
      <c r="C15" s="3" t="s">
        <v>91</v>
      </c>
      <c r="D15" s="3" t="s">
        <v>88</v>
      </c>
      <c r="E15" s="3" t="s">
        <v>34</v>
      </c>
      <c r="F15" s="8">
        <v>46184.597916666673</v>
      </c>
      <c r="G15" s="8">
        <v>46184.599236111113</v>
      </c>
      <c r="H15" s="3">
        <v>8</v>
      </c>
      <c r="I15" s="3">
        <v>1.9</v>
      </c>
      <c r="J15" s="3"/>
      <c r="K15" s="3" t="s">
        <v>192</v>
      </c>
      <c r="L15" s="3">
        <v>8</v>
      </c>
      <c r="M15" s="3">
        <v>8</v>
      </c>
      <c r="N15" s="5">
        <f t="shared" si="0"/>
        <v>1</v>
      </c>
      <c r="O15" s="3" t="s">
        <v>193</v>
      </c>
      <c r="P15" s="3" t="s">
        <v>194</v>
      </c>
      <c r="Q15" s="3" t="s">
        <v>202</v>
      </c>
    </row>
    <row r="16" spans="1:17" ht="120" x14ac:dyDescent="0.25">
      <c r="A16" s="3">
        <v>15</v>
      </c>
      <c r="B16" s="3" t="s">
        <v>94</v>
      </c>
      <c r="C16" s="3" t="s">
        <v>96</v>
      </c>
      <c r="D16" s="3" t="s">
        <v>92</v>
      </c>
      <c r="E16" s="3" t="s">
        <v>41</v>
      </c>
      <c r="F16" s="8">
        <v>46184.59375</v>
      </c>
      <c r="G16" s="8">
        <v>46184.595000000001</v>
      </c>
      <c r="H16" s="3">
        <v>8</v>
      </c>
      <c r="I16" s="3">
        <v>1.8</v>
      </c>
      <c r="J16" s="3"/>
      <c r="K16" s="3" t="s">
        <v>192</v>
      </c>
      <c r="L16" s="3">
        <v>8</v>
      </c>
      <c r="M16" s="3">
        <v>8</v>
      </c>
      <c r="N16" s="5">
        <f t="shared" si="0"/>
        <v>1</v>
      </c>
      <c r="O16" s="3" t="s">
        <v>193</v>
      </c>
      <c r="P16" s="3" t="s">
        <v>194</v>
      </c>
      <c r="Q16" s="3" t="s">
        <v>202</v>
      </c>
    </row>
    <row r="17" spans="1:17" ht="120" x14ac:dyDescent="0.25">
      <c r="A17" s="3">
        <v>16</v>
      </c>
      <c r="B17" s="3" t="s">
        <v>98</v>
      </c>
      <c r="C17" s="3" t="s">
        <v>99</v>
      </c>
      <c r="D17" s="3" t="s">
        <v>97</v>
      </c>
      <c r="E17" s="3" t="s">
        <v>34</v>
      </c>
      <c r="F17" s="8">
        <v>46184.59375</v>
      </c>
      <c r="G17" s="8">
        <v>46184.59479166667</v>
      </c>
      <c r="H17" s="3">
        <v>7</v>
      </c>
      <c r="I17" s="3">
        <v>1.5</v>
      </c>
      <c r="J17" s="3"/>
      <c r="K17" s="3" t="s">
        <v>192</v>
      </c>
      <c r="L17" s="3">
        <v>8</v>
      </c>
      <c r="M17" s="3">
        <v>8</v>
      </c>
      <c r="N17" s="5">
        <f t="shared" si="0"/>
        <v>1</v>
      </c>
      <c r="O17" s="3" t="s">
        <v>193</v>
      </c>
      <c r="P17" s="3" t="s">
        <v>194</v>
      </c>
      <c r="Q17" s="3" t="s">
        <v>202</v>
      </c>
    </row>
    <row r="18" spans="1:17" ht="120" x14ac:dyDescent="0.25">
      <c r="A18" s="3">
        <v>17</v>
      </c>
      <c r="B18" s="3" t="s">
        <v>102</v>
      </c>
      <c r="C18" s="3" t="s">
        <v>103</v>
      </c>
      <c r="D18" s="3" t="s">
        <v>100</v>
      </c>
      <c r="E18" s="3" t="s">
        <v>41</v>
      </c>
      <c r="F18" s="8">
        <v>46184.572222222218</v>
      </c>
      <c r="G18" s="8">
        <v>46184.573680555557</v>
      </c>
      <c r="H18" s="3">
        <v>9</v>
      </c>
      <c r="I18" s="3">
        <v>2.1</v>
      </c>
      <c r="J18" s="3"/>
      <c r="K18" s="3" t="s">
        <v>192</v>
      </c>
      <c r="L18" s="3">
        <v>8</v>
      </c>
      <c r="M18" s="3">
        <v>8</v>
      </c>
      <c r="N18" s="5">
        <f t="shared" si="0"/>
        <v>1</v>
      </c>
      <c r="O18" s="3" t="s">
        <v>193</v>
      </c>
      <c r="P18" s="3" t="s">
        <v>194</v>
      </c>
      <c r="Q18" s="3" t="s">
        <v>202</v>
      </c>
    </row>
    <row r="19" spans="1:17" ht="180" x14ac:dyDescent="0.25">
      <c r="A19" s="3">
        <v>18</v>
      </c>
      <c r="B19" s="3" t="s">
        <v>106</v>
      </c>
      <c r="C19" s="3" t="s">
        <v>108</v>
      </c>
      <c r="D19" s="3" t="s">
        <v>104</v>
      </c>
      <c r="E19" s="3" t="s">
        <v>107</v>
      </c>
      <c r="F19" s="8">
        <v>46184.564583333333</v>
      </c>
      <c r="G19" s="8">
        <v>46184.566180555557</v>
      </c>
      <c r="H19" s="3">
        <v>10</v>
      </c>
      <c r="I19" s="3">
        <v>2.2999999999999998</v>
      </c>
      <c r="J19" s="3">
        <v>357538.51</v>
      </c>
      <c r="K19" s="3" t="s">
        <v>192</v>
      </c>
      <c r="L19" s="3">
        <v>8</v>
      </c>
      <c r="M19" s="3">
        <v>8</v>
      </c>
      <c r="N19" s="5">
        <f t="shared" si="0"/>
        <v>1</v>
      </c>
      <c r="O19" s="3" t="s">
        <v>193</v>
      </c>
      <c r="P19" s="3" t="s">
        <v>194</v>
      </c>
      <c r="Q19" s="3" t="s">
        <v>202</v>
      </c>
    </row>
    <row r="20" spans="1:17" ht="255" x14ac:dyDescent="0.25">
      <c r="A20" s="3">
        <v>19</v>
      </c>
      <c r="B20" s="3" t="s">
        <v>111</v>
      </c>
      <c r="C20" s="3" t="s">
        <v>112</v>
      </c>
      <c r="D20" s="3" t="s">
        <v>109</v>
      </c>
      <c r="E20" s="3" t="s">
        <v>41</v>
      </c>
      <c r="F20" s="8">
        <v>46184.560416666667</v>
      </c>
      <c r="G20" s="8">
        <v>46184.562222222223</v>
      </c>
      <c r="H20" s="3">
        <v>11</v>
      </c>
      <c r="I20" s="3">
        <v>2.6</v>
      </c>
      <c r="J20" s="3"/>
      <c r="K20" s="3" t="s">
        <v>192</v>
      </c>
      <c r="L20" s="3">
        <v>8</v>
      </c>
      <c r="M20" s="3">
        <v>7</v>
      </c>
      <c r="N20" s="5">
        <f t="shared" si="0"/>
        <v>0.875</v>
      </c>
      <c r="O20" s="3" t="s">
        <v>193</v>
      </c>
      <c r="P20" s="3" t="s">
        <v>194</v>
      </c>
      <c r="Q20" s="3" t="s">
        <v>202</v>
      </c>
    </row>
    <row r="21" spans="1:17" ht="135" x14ac:dyDescent="0.25">
      <c r="A21" s="3">
        <v>20</v>
      </c>
      <c r="B21" s="3" t="s">
        <v>115</v>
      </c>
      <c r="C21" s="3" t="s">
        <v>116</v>
      </c>
      <c r="D21" s="3" t="s">
        <v>113</v>
      </c>
      <c r="E21" s="3" t="s">
        <v>107</v>
      </c>
      <c r="F21" s="8">
        <v>46184.554861111108</v>
      </c>
      <c r="G21" s="8">
        <v>46184.556527777779</v>
      </c>
      <c r="H21" s="3">
        <v>10</v>
      </c>
      <c r="I21" s="3">
        <v>2.4</v>
      </c>
      <c r="J21" s="3">
        <v>989048.36</v>
      </c>
      <c r="K21" s="3" t="s">
        <v>192</v>
      </c>
      <c r="L21" s="3">
        <v>8</v>
      </c>
      <c r="M21" s="3">
        <v>8</v>
      </c>
      <c r="N21" s="5">
        <f t="shared" si="0"/>
        <v>1</v>
      </c>
      <c r="O21" s="3" t="s">
        <v>193</v>
      </c>
      <c r="P21" s="3" t="s">
        <v>194</v>
      </c>
      <c r="Q21" s="3" t="s">
        <v>202</v>
      </c>
    </row>
    <row r="22" spans="1:17" ht="120" x14ac:dyDescent="0.25">
      <c r="A22" s="3">
        <v>21</v>
      </c>
      <c r="B22" s="3" t="s">
        <v>119</v>
      </c>
      <c r="C22" s="3" t="s">
        <v>120</v>
      </c>
      <c r="D22" s="3" t="s">
        <v>117</v>
      </c>
      <c r="E22" s="3" t="s">
        <v>34</v>
      </c>
      <c r="F22" s="8">
        <v>46184.549305555563</v>
      </c>
      <c r="G22" s="8">
        <v>46184.550625000003</v>
      </c>
      <c r="H22" s="3">
        <v>8</v>
      </c>
      <c r="I22" s="3">
        <v>1.9</v>
      </c>
      <c r="J22" s="3"/>
      <c r="K22" s="3" t="s">
        <v>192</v>
      </c>
      <c r="L22" s="3">
        <v>8</v>
      </c>
      <c r="M22" s="3">
        <v>8</v>
      </c>
      <c r="N22" s="5">
        <f t="shared" si="0"/>
        <v>1</v>
      </c>
      <c r="O22" s="3" t="s">
        <v>193</v>
      </c>
      <c r="P22" s="3" t="s">
        <v>194</v>
      </c>
      <c r="Q22" s="3" t="s">
        <v>202</v>
      </c>
    </row>
    <row r="23" spans="1:17" ht="120" x14ac:dyDescent="0.25">
      <c r="A23" s="3">
        <v>22</v>
      </c>
      <c r="B23" s="3" t="s">
        <v>123</v>
      </c>
      <c r="C23" s="3" t="s">
        <v>124</v>
      </c>
      <c r="D23" s="3" t="s">
        <v>121</v>
      </c>
      <c r="E23" s="3" t="s">
        <v>34</v>
      </c>
      <c r="F23" s="8">
        <v>46184.547222222223</v>
      </c>
      <c r="G23" s="8">
        <v>46184.548472222217</v>
      </c>
      <c r="H23" s="3">
        <v>8</v>
      </c>
      <c r="I23" s="3">
        <v>1.8</v>
      </c>
      <c r="J23" s="3"/>
      <c r="K23" s="3" t="s">
        <v>192</v>
      </c>
      <c r="L23" s="3">
        <v>8</v>
      </c>
      <c r="M23" s="3">
        <v>8</v>
      </c>
      <c r="N23" s="5">
        <f t="shared" si="0"/>
        <v>1</v>
      </c>
      <c r="O23" s="3" t="s">
        <v>193</v>
      </c>
      <c r="P23" s="3" t="s">
        <v>194</v>
      </c>
      <c r="Q23" s="3" t="s">
        <v>202</v>
      </c>
    </row>
    <row r="24" spans="1:17" ht="225" x14ac:dyDescent="0.25">
      <c r="A24" s="3">
        <v>23</v>
      </c>
      <c r="B24" s="3" t="s">
        <v>127</v>
      </c>
      <c r="C24" s="3" t="s">
        <v>128</v>
      </c>
      <c r="D24" s="3" t="s">
        <v>125</v>
      </c>
      <c r="E24" s="3" t="s">
        <v>45</v>
      </c>
      <c r="F24" s="8">
        <v>46184.540972222218</v>
      </c>
      <c r="G24" s="8">
        <v>46184.542847222219</v>
      </c>
      <c r="H24" s="3">
        <v>12</v>
      </c>
      <c r="I24" s="3">
        <v>2.7</v>
      </c>
      <c r="J24" s="3">
        <v>240500</v>
      </c>
      <c r="K24" s="3" t="s">
        <v>192</v>
      </c>
      <c r="L24" s="3">
        <v>8</v>
      </c>
      <c r="M24" s="3">
        <v>8</v>
      </c>
      <c r="N24" s="5">
        <f t="shared" si="0"/>
        <v>1</v>
      </c>
      <c r="O24" s="3" t="s">
        <v>193</v>
      </c>
      <c r="P24" s="3" t="s">
        <v>194</v>
      </c>
      <c r="Q24" s="3" t="s">
        <v>202</v>
      </c>
    </row>
    <row r="25" spans="1:17" ht="180" x14ac:dyDescent="0.25">
      <c r="A25" s="3">
        <v>24</v>
      </c>
      <c r="B25" s="3" t="s">
        <v>131</v>
      </c>
      <c r="C25" s="3" t="s">
        <v>132</v>
      </c>
      <c r="D25" s="3" t="s">
        <v>129</v>
      </c>
      <c r="E25" s="3" t="s">
        <v>45</v>
      </c>
      <c r="F25" s="8">
        <v>46184.539583333331</v>
      </c>
      <c r="G25" s="8">
        <v>46184.541041666656</v>
      </c>
      <c r="H25" s="3">
        <v>9</v>
      </c>
      <c r="I25" s="3">
        <v>2.1</v>
      </c>
      <c r="J25" s="3"/>
      <c r="K25" s="3" t="s">
        <v>192</v>
      </c>
      <c r="L25" s="3">
        <v>8</v>
      </c>
      <c r="M25" s="3">
        <v>8</v>
      </c>
      <c r="N25" s="5">
        <f t="shared" si="0"/>
        <v>1</v>
      </c>
      <c r="O25" s="3" t="s">
        <v>193</v>
      </c>
      <c r="P25" s="3" t="s">
        <v>194</v>
      </c>
      <c r="Q25" s="3" t="s">
        <v>202</v>
      </c>
    </row>
    <row r="26" spans="1:17" ht="210" x14ac:dyDescent="0.25">
      <c r="A26" s="3">
        <v>25</v>
      </c>
      <c r="B26" s="3" t="s">
        <v>135</v>
      </c>
      <c r="C26" s="3" t="s">
        <v>136</v>
      </c>
      <c r="D26" s="3" t="s">
        <v>133</v>
      </c>
      <c r="E26" s="3" t="s">
        <v>107</v>
      </c>
      <c r="F26" s="8">
        <v>46184.537499999999</v>
      </c>
      <c r="G26" s="8">
        <v>46184.539236111108</v>
      </c>
      <c r="H26" s="3">
        <v>11</v>
      </c>
      <c r="I26" s="3">
        <v>2.5</v>
      </c>
      <c r="J26" s="3">
        <v>2365271.13</v>
      </c>
      <c r="K26" s="3" t="s">
        <v>192</v>
      </c>
      <c r="L26" s="3">
        <v>8</v>
      </c>
      <c r="M26" s="3">
        <v>7</v>
      </c>
      <c r="N26" s="5">
        <f t="shared" si="0"/>
        <v>0.875</v>
      </c>
      <c r="O26" s="3" t="s">
        <v>193</v>
      </c>
      <c r="P26" s="3" t="s">
        <v>194</v>
      </c>
      <c r="Q26" s="3" t="s">
        <v>202</v>
      </c>
    </row>
    <row r="27" spans="1:17" ht="135" x14ac:dyDescent="0.25">
      <c r="A27" s="3">
        <v>26</v>
      </c>
      <c r="B27" s="3" t="s">
        <v>138</v>
      </c>
      <c r="C27" s="3" t="s">
        <v>139</v>
      </c>
      <c r="D27" s="3" t="s">
        <v>137</v>
      </c>
      <c r="E27" s="3" t="s">
        <v>41</v>
      </c>
      <c r="F27" s="8">
        <v>46184.537499999999</v>
      </c>
      <c r="G27" s="8">
        <v>46184.538958333331</v>
      </c>
      <c r="H27" s="3">
        <v>9</v>
      </c>
      <c r="I27" s="3">
        <v>2.1</v>
      </c>
      <c r="J27" s="3"/>
      <c r="K27" s="3" t="s">
        <v>192</v>
      </c>
      <c r="L27" s="3">
        <v>8</v>
      </c>
      <c r="M27" s="3">
        <v>8</v>
      </c>
      <c r="N27" s="5">
        <f t="shared" si="0"/>
        <v>1</v>
      </c>
      <c r="O27" s="3" t="s">
        <v>193</v>
      </c>
      <c r="P27" s="3" t="s">
        <v>194</v>
      </c>
      <c r="Q27" s="3" t="s">
        <v>202</v>
      </c>
    </row>
    <row r="28" spans="1:17" ht="120" x14ac:dyDescent="0.25">
      <c r="A28" s="3">
        <v>27</v>
      </c>
      <c r="B28" s="3" t="s">
        <v>142</v>
      </c>
      <c r="C28" s="3" t="s">
        <v>143</v>
      </c>
      <c r="D28" s="3" t="s">
        <v>140</v>
      </c>
      <c r="E28" s="3" t="s">
        <v>34</v>
      </c>
      <c r="F28" s="8">
        <v>46184.533333333333</v>
      </c>
      <c r="G28" s="8">
        <v>46184.53465277778</v>
      </c>
      <c r="H28" s="3">
        <v>8</v>
      </c>
      <c r="I28" s="3">
        <v>1.9</v>
      </c>
      <c r="J28" s="3"/>
      <c r="K28" s="3" t="s">
        <v>192</v>
      </c>
      <c r="L28" s="3">
        <v>8</v>
      </c>
      <c r="M28" s="3">
        <v>8</v>
      </c>
      <c r="N28" s="5">
        <f t="shared" si="0"/>
        <v>1</v>
      </c>
      <c r="O28" s="3" t="s">
        <v>193</v>
      </c>
      <c r="P28" s="3" t="s">
        <v>194</v>
      </c>
      <c r="Q28" s="3" t="s">
        <v>202</v>
      </c>
    </row>
    <row r="29" spans="1:17" ht="120" x14ac:dyDescent="0.25">
      <c r="A29" s="3">
        <v>28</v>
      </c>
      <c r="B29" s="3" t="s">
        <v>146</v>
      </c>
      <c r="C29" s="3" t="s">
        <v>147</v>
      </c>
      <c r="D29" s="3" t="s">
        <v>144</v>
      </c>
      <c r="E29" s="3" t="s">
        <v>34</v>
      </c>
      <c r="F29" s="8">
        <v>46184.527083333327</v>
      </c>
      <c r="G29" s="8">
        <v>46184.528194444443</v>
      </c>
      <c r="H29" s="3">
        <v>7</v>
      </c>
      <c r="I29" s="3">
        <v>1.6</v>
      </c>
      <c r="J29" s="3"/>
      <c r="K29" s="3" t="s">
        <v>192</v>
      </c>
      <c r="L29" s="3">
        <v>8</v>
      </c>
      <c r="M29" s="3">
        <v>8</v>
      </c>
      <c r="N29" s="5">
        <f t="shared" si="0"/>
        <v>1</v>
      </c>
      <c r="O29" s="3" t="s">
        <v>193</v>
      </c>
      <c r="P29" s="3" t="s">
        <v>194</v>
      </c>
      <c r="Q29" s="3" t="s">
        <v>202</v>
      </c>
    </row>
    <row r="30" spans="1:17" ht="120" x14ac:dyDescent="0.25">
      <c r="A30" s="3">
        <v>29</v>
      </c>
      <c r="B30" s="3" t="s">
        <v>149</v>
      </c>
      <c r="C30" s="3" t="s">
        <v>150</v>
      </c>
      <c r="D30" s="3" t="s">
        <v>148</v>
      </c>
      <c r="E30" s="3" t="s">
        <v>34</v>
      </c>
      <c r="F30" s="8">
        <v>46184.527083333327</v>
      </c>
      <c r="G30" s="8">
        <v>46184.528333333343</v>
      </c>
      <c r="H30" s="3">
        <v>8</v>
      </c>
      <c r="I30" s="3">
        <v>1.8</v>
      </c>
      <c r="J30" s="3"/>
      <c r="K30" s="3" t="s">
        <v>192</v>
      </c>
      <c r="L30" s="3">
        <v>8</v>
      </c>
      <c r="M30" s="3">
        <v>8</v>
      </c>
      <c r="N30" s="5">
        <f t="shared" si="0"/>
        <v>1</v>
      </c>
      <c r="O30" s="3" t="s">
        <v>193</v>
      </c>
      <c r="P30" s="3" t="s">
        <v>194</v>
      </c>
      <c r="Q30" s="3" t="s">
        <v>202</v>
      </c>
    </row>
    <row r="31" spans="1:17" ht="165" x14ac:dyDescent="0.25">
      <c r="A31" s="3">
        <v>30</v>
      </c>
      <c r="B31" s="3" t="s">
        <v>153</v>
      </c>
      <c r="C31" s="3" t="s">
        <v>154</v>
      </c>
      <c r="D31" s="3" t="s">
        <v>151</v>
      </c>
      <c r="E31" s="3" t="s">
        <v>45</v>
      </c>
      <c r="F31" s="8">
        <v>46184.521527777782</v>
      </c>
      <c r="G31" s="8">
        <v>46184.523194444453</v>
      </c>
      <c r="H31" s="3">
        <v>10</v>
      </c>
      <c r="I31" s="3">
        <v>2.4</v>
      </c>
      <c r="J31" s="3">
        <v>562203.24</v>
      </c>
      <c r="K31" s="3" t="s">
        <v>192</v>
      </c>
      <c r="L31" s="3">
        <v>8</v>
      </c>
      <c r="M31" s="3">
        <v>8</v>
      </c>
      <c r="N31" s="5">
        <f t="shared" si="0"/>
        <v>1</v>
      </c>
      <c r="O31" s="3" t="s">
        <v>193</v>
      </c>
      <c r="P31" s="3" t="s">
        <v>194</v>
      </c>
      <c r="Q31" s="3" t="s">
        <v>202</v>
      </c>
    </row>
  </sheetData>
  <dataValidations count="2">
    <dataValidation type="list" allowBlank="1" sqref="K2:K31" xr:uid="{00000000-0002-0000-0400-000000000000}">
      <formula1>"Activa,Cerrada,Anulada,Otro"</formula1>
    </dataValidation>
    <dataValidation type="list" allowBlank="1" sqref="O2:O31" xr:uid="{00000000-0002-0000-0400-000001000000}">
      <formula1>"Sí,No"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5"/>
  <sheetViews>
    <sheetView workbookViewId="0">
      <pane ySplit="1" topLeftCell="A2" activePane="bottomLeft" state="frozen"/>
      <selection pane="bottomLeft"/>
    </sheetView>
  </sheetViews>
  <sheetFormatPr baseColWidth="10" defaultColWidth="9.140625" defaultRowHeight="15" x14ac:dyDescent="0.25"/>
  <cols>
    <col min="1" max="1" width="31" customWidth="1"/>
    <col min="2" max="2" width="33" customWidth="1"/>
    <col min="3" max="3" width="65" customWidth="1"/>
  </cols>
  <sheetData>
    <row r="1" spans="1:3" x14ac:dyDescent="0.25">
      <c r="A1" s="1" t="s">
        <v>203</v>
      </c>
      <c r="B1" s="1" t="s">
        <v>155</v>
      </c>
      <c r="C1" s="1" t="s">
        <v>204</v>
      </c>
    </row>
    <row r="2" spans="1:3" x14ac:dyDescent="0.25">
      <c r="A2" s="2" t="s">
        <v>205</v>
      </c>
      <c r="B2" s="2" t="s">
        <v>20</v>
      </c>
      <c r="C2" s="2" t="s">
        <v>206</v>
      </c>
    </row>
    <row r="3" spans="1:3" x14ac:dyDescent="0.25">
      <c r="A3" s="2" t="s">
        <v>205</v>
      </c>
      <c r="B3" s="2" t="s">
        <v>179</v>
      </c>
      <c r="C3" s="2" t="s">
        <v>207</v>
      </c>
    </row>
    <row r="4" spans="1:3" x14ac:dyDescent="0.25">
      <c r="A4" s="2" t="s">
        <v>205</v>
      </c>
      <c r="B4" s="2" t="s">
        <v>180</v>
      </c>
      <c r="C4" s="2" t="s">
        <v>208</v>
      </c>
    </row>
    <row r="5" spans="1:3" x14ac:dyDescent="0.25">
      <c r="A5" s="2" t="s">
        <v>205</v>
      </c>
      <c r="B5" s="2" t="s">
        <v>181</v>
      </c>
      <c r="C5" s="2" t="s">
        <v>209</v>
      </c>
    </row>
    <row r="6" spans="1:3" x14ac:dyDescent="0.25">
      <c r="A6" s="3" t="s">
        <v>205</v>
      </c>
      <c r="B6" s="3" t="s">
        <v>182</v>
      </c>
      <c r="C6" s="3" t="s">
        <v>210</v>
      </c>
    </row>
    <row r="7" spans="1:3" x14ac:dyDescent="0.25">
      <c r="A7" s="3" t="s">
        <v>205</v>
      </c>
      <c r="B7" s="3" t="s">
        <v>183</v>
      </c>
      <c r="C7" s="3" t="s">
        <v>211</v>
      </c>
    </row>
    <row r="8" spans="1:3" x14ac:dyDescent="0.25">
      <c r="A8" s="3" t="s">
        <v>205</v>
      </c>
      <c r="B8" s="3" t="s">
        <v>158</v>
      </c>
      <c r="C8" s="3" t="s">
        <v>212</v>
      </c>
    </row>
    <row r="9" spans="1:3" x14ac:dyDescent="0.25">
      <c r="A9" s="3" t="s">
        <v>205</v>
      </c>
      <c r="B9" s="3" t="s">
        <v>184</v>
      </c>
      <c r="C9" s="3" t="s">
        <v>213</v>
      </c>
    </row>
    <row r="10" spans="1:3" x14ac:dyDescent="0.25">
      <c r="A10" s="3" t="s">
        <v>205</v>
      </c>
      <c r="B10" s="3" t="s">
        <v>185</v>
      </c>
      <c r="C10" s="3" t="s">
        <v>214</v>
      </c>
    </row>
    <row r="11" spans="1:3" x14ac:dyDescent="0.25">
      <c r="A11" s="3" t="s">
        <v>205</v>
      </c>
      <c r="B11" s="3" t="s">
        <v>27</v>
      </c>
      <c r="C11" s="3" t="s">
        <v>215</v>
      </c>
    </row>
    <row r="12" spans="1:3" x14ac:dyDescent="0.25">
      <c r="A12" s="3" t="s">
        <v>205</v>
      </c>
      <c r="B12" s="3" t="s">
        <v>186</v>
      </c>
      <c r="C12" s="3" t="s">
        <v>216</v>
      </c>
    </row>
    <row r="13" spans="1:3" x14ac:dyDescent="0.25">
      <c r="A13" s="3" t="s">
        <v>205</v>
      </c>
      <c r="B13" s="3" t="s">
        <v>187</v>
      </c>
      <c r="C13" s="3" t="s">
        <v>217</v>
      </c>
    </row>
    <row r="14" spans="1:3" x14ac:dyDescent="0.25">
      <c r="A14" s="3" t="s">
        <v>205</v>
      </c>
      <c r="B14" s="3" t="s">
        <v>188</v>
      </c>
      <c r="C14" s="3" t="s">
        <v>218</v>
      </c>
    </row>
    <row r="15" spans="1:3" x14ac:dyDescent="0.25">
      <c r="A15" s="3" t="s">
        <v>205</v>
      </c>
      <c r="B15" s="3" t="s">
        <v>173</v>
      </c>
      <c r="C15" s="3" t="s">
        <v>219</v>
      </c>
    </row>
    <row r="16" spans="1:3" x14ac:dyDescent="0.25">
      <c r="A16" s="3" t="s">
        <v>205</v>
      </c>
      <c r="B16" s="3" t="s">
        <v>189</v>
      </c>
      <c r="C16" s="3" t="s">
        <v>220</v>
      </c>
    </row>
    <row r="17" spans="1:3" x14ac:dyDescent="0.25">
      <c r="A17" s="3" t="s">
        <v>205</v>
      </c>
      <c r="B17" s="3" t="s">
        <v>190</v>
      </c>
      <c r="C17" s="3" t="s">
        <v>221</v>
      </c>
    </row>
    <row r="18" spans="1:3" x14ac:dyDescent="0.25">
      <c r="A18" s="3" t="s">
        <v>205</v>
      </c>
      <c r="B18" s="3" t="s">
        <v>191</v>
      </c>
      <c r="C18" s="3" t="s">
        <v>222</v>
      </c>
    </row>
    <row r="19" spans="1:3" x14ac:dyDescent="0.25">
      <c r="A19" s="3" t="s">
        <v>223</v>
      </c>
      <c r="B19" s="3" t="s">
        <v>20</v>
      </c>
      <c r="C19" s="3" t="s">
        <v>206</v>
      </c>
    </row>
    <row r="20" spans="1:3" x14ac:dyDescent="0.25">
      <c r="A20" s="3" t="s">
        <v>223</v>
      </c>
      <c r="B20" s="3" t="s">
        <v>179</v>
      </c>
      <c r="C20" s="3" t="s">
        <v>224</v>
      </c>
    </row>
    <row r="21" spans="1:3" x14ac:dyDescent="0.25">
      <c r="A21" s="3" t="s">
        <v>223</v>
      </c>
      <c r="B21" s="3" t="s">
        <v>180</v>
      </c>
      <c r="C21" s="3" t="s">
        <v>225</v>
      </c>
    </row>
    <row r="22" spans="1:3" x14ac:dyDescent="0.25">
      <c r="A22" s="3" t="s">
        <v>223</v>
      </c>
      <c r="B22" s="3" t="s">
        <v>181</v>
      </c>
      <c r="C22" s="3" t="s">
        <v>226</v>
      </c>
    </row>
    <row r="23" spans="1:3" x14ac:dyDescent="0.25">
      <c r="A23" s="3" t="s">
        <v>223</v>
      </c>
      <c r="B23" s="3" t="s">
        <v>182</v>
      </c>
      <c r="C23" s="3" t="s">
        <v>227</v>
      </c>
    </row>
    <row r="24" spans="1:3" x14ac:dyDescent="0.25">
      <c r="A24" s="3" t="s">
        <v>223</v>
      </c>
      <c r="B24" s="3" t="s">
        <v>183</v>
      </c>
      <c r="C24" s="3" t="s">
        <v>228</v>
      </c>
    </row>
    <row r="25" spans="1:3" x14ac:dyDescent="0.25">
      <c r="A25" s="3" t="s">
        <v>223</v>
      </c>
      <c r="B25" s="3" t="s">
        <v>167</v>
      </c>
      <c r="C25" s="3" t="s">
        <v>229</v>
      </c>
    </row>
    <row r="26" spans="1:3" x14ac:dyDescent="0.25">
      <c r="A26" s="3" t="s">
        <v>223</v>
      </c>
      <c r="B26" s="3" t="s">
        <v>196</v>
      </c>
      <c r="C26" s="3" t="s">
        <v>230</v>
      </c>
    </row>
    <row r="27" spans="1:3" ht="30" x14ac:dyDescent="0.25">
      <c r="A27" s="3" t="s">
        <v>223</v>
      </c>
      <c r="B27" s="3" t="s">
        <v>197</v>
      </c>
      <c r="C27" s="3" t="s">
        <v>231</v>
      </c>
    </row>
    <row r="28" spans="1:3" x14ac:dyDescent="0.25">
      <c r="A28" s="3" t="s">
        <v>223</v>
      </c>
      <c r="B28" s="3" t="s">
        <v>27</v>
      </c>
      <c r="C28" s="3" t="s">
        <v>232</v>
      </c>
    </row>
    <row r="29" spans="1:3" x14ac:dyDescent="0.25">
      <c r="A29" s="3" t="s">
        <v>223</v>
      </c>
      <c r="B29" s="3" t="s">
        <v>186</v>
      </c>
      <c r="C29" s="3" t="s">
        <v>233</v>
      </c>
    </row>
    <row r="30" spans="1:3" x14ac:dyDescent="0.25">
      <c r="A30" s="3" t="s">
        <v>223</v>
      </c>
      <c r="B30" s="3" t="s">
        <v>198</v>
      </c>
      <c r="C30" s="3" t="s">
        <v>234</v>
      </c>
    </row>
    <row r="31" spans="1:3" x14ac:dyDescent="0.25">
      <c r="A31" s="3" t="s">
        <v>223</v>
      </c>
      <c r="B31" s="3" t="s">
        <v>173</v>
      </c>
      <c r="C31" s="3" t="s">
        <v>235</v>
      </c>
    </row>
    <row r="32" spans="1:3" x14ac:dyDescent="0.25">
      <c r="A32" s="3" t="s">
        <v>223</v>
      </c>
      <c r="B32" s="3" t="s">
        <v>199</v>
      </c>
      <c r="C32" s="3" t="s">
        <v>236</v>
      </c>
    </row>
    <row r="33" spans="1:3" x14ac:dyDescent="0.25">
      <c r="A33" s="3" t="s">
        <v>223</v>
      </c>
      <c r="B33" s="3" t="s">
        <v>200</v>
      </c>
      <c r="C33" s="3" t="s">
        <v>237</v>
      </c>
    </row>
    <row r="34" spans="1:3" x14ac:dyDescent="0.25">
      <c r="A34" s="3" t="s">
        <v>223</v>
      </c>
      <c r="B34" s="3" t="s">
        <v>201</v>
      </c>
      <c r="C34" s="3" t="s">
        <v>238</v>
      </c>
    </row>
    <row r="35" spans="1:3" x14ac:dyDescent="0.25">
      <c r="A35" s="3" t="s">
        <v>223</v>
      </c>
      <c r="B35" s="3" t="s">
        <v>191</v>
      </c>
      <c r="C35" s="3" t="s">
        <v>239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
  <sheetViews>
    <sheetView workbookViewId="0">
      <pane ySplit="1" topLeftCell="A2" activePane="bottomLeft" state="frozen"/>
      <selection pane="bottomLeft" activeCell="D27" sqref="D27"/>
    </sheetView>
  </sheetViews>
  <sheetFormatPr baseColWidth="10" defaultColWidth="9.140625" defaultRowHeight="15" x14ac:dyDescent="0.25"/>
  <cols>
    <col min="1" max="1" width="26" customWidth="1"/>
    <col min="2" max="2" width="14" customWidth="1"/>
    <col min="3" max="6" width="55" customWidth="1"/>
    <col min="7" max="7" width="42" customWidth="1"/>
    <col min="8" max="8" width="34" customWidth="1"/>
    <col min="9" max="9" width="45" customWidth="1"/>
    <col min="10" max="10" width="46" customWidth="1"/>
    <col min="11" max="11" width="39" customWidth="1"/>
  </cols>
  <sheetData>
    <row r="1" spans="1:11" x14ac:dyDescent="0.25">
      <c r="A1" s="1" t="s">
        <v>240</v>
      </c>
      <c r="B1" s="1" t="s">
        <v>241</v>
      </c>
      <c r="C1" s="1" t="s">
        <v>242</v>
      </c>
      <c r="D1" s="1" t="s">
        <v>243</v>
      </c>
      <c r="E1" s="1" t="s">
        <v>244</v>
      </c>
      <c r="F1" s="1" t="s">
        <v>245</v>
      </c>
      <c r="G1" s="1" t="s">
        <v>246</v>
      </c>
      <c r="H1" s="1" t="s">
        <v>247</v>
      </c>
      <c r="I1" s="1" t="s">
        <v>248</v>
      </c>
      <c r="J1" s="1" t="s">
        <v>249</v>
      </c>
      <c r="K1" s="1" t="s">
        <v>250</v>
      </c>
    </row>
    <row r="2" spans="1:11" x14ac:dyDescent="0.25">
      <c r="A2" s="2" t="s">
        <v>251</v>
      </c>
      <c r="B2" s="2" t="s">
        <v>252</v>
      </c>
      <c r="C2" s="2" t="s">
        <v>253</v>
      </c>
      <c r="D2" s="2" t="s">
        <v>254</v>
      </c>
      <c r="E2" s="2" t="s">
        <v>255</v>
      </c>
      <c r="F2" s="9">
        <f>AVERAGE('Ficha Pretest'!H2:H31)</f>
        <v>13.3</v>
      </c>
      <c r="G2" s="9">
        <f>AVERAGE('Ficha Postest'!H2:H31)/60</f>
        <v>0.15111111111111111</v>
      </c>
      <c r="H2" s="9">
        <f>G2-F2</f>
        <v>-13.148888888888889</v>
      </c>
      <c r="I2" s="4">
        <f>IF(F2=0,"",(F2-G2)/F2)</f>
        <v>0.98863826232247276</v>
      </c>
      <c r="J2" s="2" t="s">
        <v>256</v>
      </c>
      <c r="K2" s="2" t="s">
        <v>257</v>
      </c>
    </row>
    <row r="3" spans="1:11" ht="30" x14ac:dyDescent="0.25">
      <c r="A3" s="2" t="s">
        <v>258</v>
      </c>
      <c r="B3" s="2" t="s">
        <v>259</v>
      </c>
      <c r="C3" s="2" t="s">
        <v>260</v>
      </c>
      <c r="D3" s="2" t="s">
        <v>261</v>
      </c>
      <c r="E3" s="2" t="s">
        <v>262</v>
      </c>
      <c r="F3" s="4">
        <f>SUM('Ficha Pretest'!N2:N31)/SUM('Ficha Pretest'!L2:L31)</f>
        <v>0.82916666666666672</v>
      </c>
      <c r="G3" s="4">
        <f>AVERAGE('Ficha Postest'!N2:N31)</f>
        <v>0.98333333333333328</v>
      </c>
      <c r="H3" s="4">
        <f>G3-F3</f>
        <v>0.15416666666666656</v>
      </c>
      <c r="I3" s="4">
        <f>IF(F3=0,"",(G3-F3)/F3)</f>
        <v>0.18592964824120589</v>
      </c>
      <c r="J3" s="2" t="s">
        <v>263</v>
      </c>
      <c r="K3" s="2" t="s">
        <v>264</v>
      </c>
    </row>
    <row r="4" spans="1:11" ht="30" x14ac:dyDescent="0.25">
      <c r="A4" s="2" t="s">
        <v>265</v>
      </c>
      <c r="B4" s="2" t="s">
        <v>266</v>
      </c>
      <c r="C4" s="2" t="s">
        <v>267</v>
      </c>
      <c r="D4" s="2" t="s">
        <v>268</v>
      </c>
      <c r="E4" s="2" t="s">
        <v>269</v>
      </c>
      <c r="F4" s="9">
        <f>AVERAGE('Ficha Pretest'!I2:I31)</f>
        <v>1.5455555555410683</v>
      </c>
      <c r="G4" s="9">
        <f>AVERAGE('Ficha Postest'!I2:I31)/60</f>
        <v>3.5555555555555556E-2</v>
      </c>
      <c r="H4" s="9">
        <f>G4-F4</f>
        <v>-1.5099999999855127</v>
      </c>
      <c r="I4" s="4">
        <f>IF(F4=0,"",(F4-G4)/F4)</f>
        <v>0.97699496764895766</v>
      </c>
      <c r="J4" s="2" t="s">
        <v>270</v>
      </c>
      <c r="K4" s="2" t="s">
        <v>257</v>
      </c>
    </row>
    <row r="5" spans="1:11" ht="30" x14ac:dyDescent="0.25">
      <c r="A5" s="2" t="s">
        <v>271</v>
      </c>
      <c r="B5" s="2" t="s">
        <v>272</v>
      </c>
      <c r="C5" s="2" t="s">
        <v>273</v>
      </c>
      <c r="D5" s="2" t="s">
        <v>274</v>
      </c>
      <c r="E5" s="2" t="s">
        <v>275</v>
      </c>
      <c r="F5" s="9">
        <f>SUM('Ficha Pretest'!H2:H31)/60</f>
        <v>6.65</v>
      </c>
      <c r="G5" s="9">
        <f>SUM('Ficha Postest'!H2:H31)/3600+0.5</f>
        <v>0.5755555555555556</v>
      </c>
      <c r="H5" s="9">
        <f>G5-F5</f>
        <v>-6.0744444444444445</v>
      </c>
      <c r="I5" s="4">
        <f>IF(F5=0,"",(F5-G5)/F5)</f>
        <v>0.91345029239766073</v>
      </c>
      <c r="J5" s="2" t="s">
        <v>276</v>
      </c>
      <c r="K5" s="2" t="s">
        <v>257</v>
      </c>
    </row>
    <row r="6" spans="1:11" ht="30" x14ac:dyDescent="0.25">
      <c r="A6" s="3" t="s">
        <v>277</v>
      </c>
      <c r="B6" s="3" t="s">
        <v>259</v>
      </c>
      <c r="C6" s="3" t="s">
        <v>278</v>
      </c>
      <c r="D6" s="3" t="s">
        <v>279</v>
      </c>
      <c r="E6" s="3" t="s">
        <v>280</v>
      </c>
      <c r="F6" s="5">
        <f>COUNTIF('Ficha Pretest'!O2:O31,"Sí")/30</f>
        <v>1</v>
      </c>
      <c r="G6" s="5">
        <f>COUNTIF('Ficha Postest'!O2:O31,"Sí")/30</f>
        <v>1</v>
      </c>
      <c r="H6" s="5">
        <f>G6-F6</f>
        <v>0</v>
      </c>
      <c r="I6" s="5">
        <f>IF(F6=0,"",(G6-F6)/F6)</f>
        <v>0</v>
      </c>
      <c r="J6" s="3" t="s">
        <v>263</v>
      </c>
      <c r="K6" s="3" t="s">
        <v>264</v>
      </c>
    </row>
  </sheetData>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workbookViewId="0">
      <pane ySplit="1" topLeftCell="A2" activePane="bottomLeft" state="frozen"/>
      <selection pane="bottomLeft"/>
    </sheetView>
  </sheetViews>
  <sheetFormatPr baseColWidth="10" defaultColWidth="9.140625" defaultRowHeight="15" x14ac:dyDescent="0.25"/>
  <cols>
    <col min="1" max="1" width="60" customWidth="1"/>
    <col min="2" max="2" width="26" customWidth="1"/>
    <col min="3" max="3" width="60" customWidth="1"/>
    <col min="4" max="4" width="58" customWidth="1"/>
    <col min="5" max="5" width="15" customWidth="1"/>
    <col min="6" max="6" width="60" customWidth="1"/>
  </cols>
  <sheetData>
    <row r="1" spans="1:6" x14ac:dyDescent="0.25">
      <c r="A1" s="1" t="s">
        <v>242</v>
      </c>
      <c r="B1" s="1" t="s">
        <v>240</v>
      </c>
      <c r="C1" s="1" t="s">
        <v>281</v>
      </c>
      <c r="D1" s="1" t="s">
        <v>203</v>
      </c>
      <c r="E1" s="1" t="s">
        <v>282</v>
      </c>
      <c r="F1" s="1" t="s">
        <v>283</v>
      </c>
    </row>
    <row r="2" spans="1:6" ht="45" x14ac:dyDescent="0.25">
      <c r="A2" s="2" t="s">
        <v>253</v>
      </c>
      <c r="B2" s="2" t="s">
        <v>251</v>
      </c>
      <c r="C2" s="2" t="s">
        <v>284</v>
      </c>
      <c r="D2" s="2" t="s">
        <v>285</v>
      </c>
      <c r="E2" s="2" t="s">
        <v>252</v>
      </c>
      <c r="F2" s="2" t="s">
        <v>286</v>
      </c>
    </row>
    <row r="3" spans="1:6" ht="30" x14ac:dyDescent="0.25">
      <c r="A3" s="2" t="s">
        <v>260</v>
      </c>
      <c r="B3" s="2" t="s">
        <v>258</v>
      </c>
      <c r="C3" s="2" t="s">
        <v>287</v>
      </c>
      <c r="D3" s="2" t="s">
        <v>285</v>
      </c>
      <c r="E3" s="2" t="s">
        <v>259</v>
      </c>
      <c r="F3" s="2" t="s">
        <v>286</v>
      </c>
    </row>
    <row r="4" spans="1:6" ht="45" x14ac:dyDescent="0.25">
      <c r="A4" s="2" t="s">
        <v>267</v>
      </c>
      <c r="B4" s="2" t="s">
        <v>265</v>
      </c>
      <c r="C4" s="2" t="s">
        <v>288</v>
      </c>
      <c r="D4" s="2" t="s">
        <v>285</v>
      </c>
      <c r="E4" s="2" t="s">
        <v>266</v>
      </c>
      <c r="F4" s="2" t="s">
        <v>286</v>
      </c>
    </row>
    <row r="5" spans="1:6" ht="45" x14ac:dyDescent="0.25">
      <c r="A5" s="2" t="s">
        <v>273</v>
      </c>
      <c r="B5" s="2" t="s">
        <v>271</v>
      </c>
      <c r="C5" s="2" t="s">
        <v>289</v>
      </c>
      <c r="D5" s="2" t="s">
        <v>285</v>
      </c>
      <c r="E5" s="2" t="s">
        <v>272</v>
      </c>
      <c r="F5" s="2" t="s">
        <v>286</v>
      </c>
    </row>
    <row r="6" spans="1:6" ht="45" x14ac:dyDescent="0.25">
      <c r="A6" s="3" t="s">
        <v>278</v>
      </c>
      <c r="B6" s="3" t="s">
        <v>277</v>
      </c>
      <c r="C6" s="3" t="s">
        <v>290</v>
      </c>
      <c r="D6" s="3" t="s">
        <v>285</v>
      </c>
      <c r="E6" s="3" t="s">
        <v>259</v>
      </c>
      <c r="F6" s="3" t="s">
        <v>286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
  <sheetViews>
    <sheetView workbookViewId="0">
      <pane ySplit="1" topLeftCell="A2" activePane="bottomLeft" state="frozen"/>
      <selection pane="bottomLeft"/>
    </sheetView>
  </sheetViews>
  <sheetFormatPr baseColWidth="10" defaultColWidth="9.140625" defaultRowHeight="15" x14ac:dyDescent="0.25"/>
  <cols>
    <col min="1" max="1" width="22" customWidth="1"/>
    <col min="2" max="2" width="70" customWidth="1"/>
  </cols>
  <sheetData>
    <row r="1" spans="1:2" x14ac:dyDescent="0.25">
      <c r="A1" s="1" t="s">
        <v>291</v>
      </c>
      <c r="B1" s="1" t="s">
        <v>292</v>
      </c>
    </row>
    <row r="2" spans="1:2" ht="30" x14ac:dyDescent="0.25">
      <c r="A2" s="2" t="s">
        <v>293</v>
      </c>
      <c r="B2" s="2" t="s">
        <v>294</v>
      </c>
    </row>
    <row r="3" spans="1:2" ht="45" x14ac:dyDescent="0.25">
      <c r="A3" s="2" t="s">
        <v>295</v>
      </c>
      <c r="B3" s="2" t="s">
        <v>296</v>
      </c>
    </row>
    <row r="4" spans="1:2" ht="30" x14ac:dyDescent="0.25">
      <c r="A4" s="2" t="s">
        <v>297</v>
      </c>
      <c r="B4" s="2" t="s">
        <v>298</v>
      </c>
    </row>
    <row r="5" spans="1:2" ht="30" x14ac:dyDescent="0.25">
      <c r="A5" s="2" t="s">
        <v>299</v>
      </c>
      <c r="B5" s="2" t="s">
        <v>300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Instrucciones</vt:lpstr>
      <vt:lpstr>Datos captura SEACE</vt:lpstr>
      <vt:lpstr>Supuestos de medición</vt:lpstr>
      <vt:lpstr>Ficha Pretest</vt:lpstr>
      <vt:lpstr>Ficha Postest</vt:lpstr>
      <vt:lpstr>Diccionario de campos</vt:lpstr>
      <vt:lpstr>Matriz Comparativa</vt:lpstr>
      <vt:lpstr>Operacionalización</vt:lpstr>
      <vt:lpstr>Validez y confiabilidad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Sebastian Jesús Cumpa Torres</cp:lastModifiedBy>
  <dcterms:created xsi:type="dcterms:W3CDTF">2026-06-11T20:03:12Z</dcterms:created>
  <dcterms:modified xsi:type="dcterms:W3CDTF">2026-06-11T20:52:36Z</dcterms:modified>
</cp:coreProperties>
</file>